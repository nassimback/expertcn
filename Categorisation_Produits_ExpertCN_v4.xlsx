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mbelhous\Desktop\ExpertCN_Repo\PROJECTS\WEB\ECN_site_web\listing produits\"/>
    </mc:Choice>
  </mc:AlternateContent>
  <xr:revisionPtr revIDLastSave="0" documentId="13_ncr:1_{1847C460-12B8-4338-8236-F972FDC9EF84}" xr6:coauthVersionLast="47" xr6:coauthVersionMax="47" xr10:uidLastSave="{00000000-0000-0000-0000-000000000000}"/>
  <bookViews>
    <workbookView xWindow="-120" yWindow="-120" windowWidth="27540" windowHeight="16440" tabRatio="500" xr2:uid="{00000000-000D-0000-FFFF-FFFF00000000}"/>
  </bookViews>
  <sheets>
    <sheet name="Catégories" sheetId="2" r:id="rId1"/>
    <sheet name="Produits" sheetId="3" r:id="rId2"/>
    <sheet name="Produits variables — Specs" sheetId="4" r:id="rId3"/>
    <sheet name="Page Newlinks — Spec" sheetId="5" r:id="rId4"/>
  </sheets>
  <definedNames>
    <definedName name="_xlnm._FilterDatabase" localSheetId="1" hidden="1">Produits!$A$1:$K$68</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10" i="2" l="1"/>
  <c r="C9" i="2"/>
  <c r="C8" i="2"/>
  <c r="C7" i="2"/>
  <c r="C6" i="2"/>
  <c r="C5" i="2"/>
  <c r="C4" i="2"/>
  <c r="C3" i="2"/>
  <c r="C11" i="2" l="1"/>
</calcChain>
</file>

<file path=xl/sharedStrings.xml><?xml version="1.0" encoding="utf-8"?>
<sst xmlns="http://schemas.openxmlformats.org/spreadsheetml/2006/main" count="642" uniqueCount="279">
  <si>
    <t>Arborescence — expertcn.fr</t>
  </si>
  <si>
    <t>Catégorie</t>
  </si>
  <si>
    <t>Sous-catégories</t>
  </si>
  <si>
    <t>Nb de pages</t>
  </si>
  <si>
    <t>Commentaire</t>
  </si>
  <si>
    <t>Tests et mesures</t>
  </si>
  <si>
    <t>OTDR/Réflectomètres, Photomètres &amp; Lasers, Analyseurs PON, Analyseurs de spectre (OCC), Multimètres optiques, Compteurs, Logiciels</t>
  </si>
  <si>
    <t>Gamme VeEX terrain/portable uniquement (les plateformes modulaires RXT/MTTplus/TX300s sont volontairement hors périmètre).</t>
  </si>
  <si>
    <t>Soudeuses fibre optique</t>
  </si>
  <si>
    <t>Soudeuses (Fujikura, Sumitomo, Inno), Cliveuses</t>
  </si>
  <si>
    <t>⚠ Toujours aucun modèle INNO dans la liste — à ajouter (tu m'avais confirmé que la marque est distribuée).</t>
  </si>
  <si>
    <t>Raccordement optique</t>
  </si>
  <si>
    <t>Tiroirs optiques, Pigtails, Jarretières, PTO, MPO, Breakout</t>
  </si>
  <si>
    <t>4 pages sur 6 sont désormais des pages variables.</t>
  </si>
  <si>
    <t>Équipements Actifs</t>
  </si>
  <si>
    <t>CPE, Switches, OLT, Modules optiques</t>
  </si>
  <si>
    <t>NOUVELLE catégorie. Gamme Raisecom. "Modules optiques" = entrée de menu pointant vers la page WordPress Newlinks (voir Légende).</t>
  </si>
  <si>
    <t>Tirage et sécurité</t>
  </si>
  <si>
    <t>Recharges, Aiguilles de tirage, Accessoires de tirage</t>
  </si>
  <si>
    <t>Recharges et Aiguilles consolidées en pages variables.</t>
  </si>
  <si>
    <t>Identification de réseau</t>
  </si>
  <si>
    <t>Étiqueteuses</t>
  </si>
  <si>
    <t>Gamme Brady complète : M210, M211, M410, M510, M511, M610, M611, M710 (+ M210-LAB, Kit M211).</t>
  </si>
  <si>
    <t>Consommables</t>
  </si>
  <si>
    <t>Électrodes, Étiquettes &amp; Rubans, Colliers, Divers</t>
  </si>
  <si>
    <t>Consommables Brady ajoutés — chiffre d'affaires récurrent, à ne pas négliger en SEO.</t>
  </si>
  <si>
    <t>Autres équipements</t>
  </si>
  <si>
    <t>—</t>
  </si>
  <si>
    <t>Vide. Si rien ne vient s'y loger, autant supprimer la catégorie.</t>
  </si>
  <si>
    <t>TOTAL PAGES</t>
  </si>
  <si>
    <t>Nom produit</t>
  </si>
  <si>
    <t>Marque</t>
  </si>
  <si>
    <t>Sous-catégorie</t>
  </si>
  <si>
    <t>Ancienne(s) catégorie(s) site</t>
  </si>
  <si>
    <t>SKU</t>
  </si>
  <si>
    <t>Image produit (URL)</t>
  </si>
  <si>
    <t>Description courte</t>
  </si>
  <si>
    <t>Statut</t>
  </si>
  <si>
    <t>Notes</t>
  </si>
  <si>
    <t>Type de produit</t>
  </si>
  <si>
    <t>Analyseur PON VeEX PX92</t>
  </si>
  <si>
    <t>VeEX</t>
  </si>
  <si>
    <t>Analyseurs PON</t>
  </si>
  <si>
    <t>Lasers et Photomètres, Tests et Mesures</t>
  </si>
  <si>
    <t>Garder</t>
  </si>
  <si>
    <t>Simple</t>
  </si>
  <si>
    <t>Étiqueteuse M510 BRADY</t>
  </si>
  <si>
    <t>Brady</t>
  </si>
  <si>
    <t>Identification de reseau</t>
  </si>
  <si>
    <t>Étiqueteuse M710 BRADY</t>
  </si>
  <si>
    <t>Étiqueteuse M610 BRADY</t>
  </si>
  <si>
    <t>Autres</t>
  </si>
  <si>
    <t>Reclassé depuis "Autres"</t>
  </si>
  <si>
    <t>Kit Étiqueteuse M211 BRADY</t>
  </si>
  <si>
    <t>Reclassé depuis "Autres" ; distinct de la ligne "Étiqueteuse M211 Brady" (kit complet vs appareil seul) — le total à 7 confirme qu'il ne s'agit probablement pas d'un doublon</t>
  </si>
  <si>
    <t>Étiqueteuse M210-LAB BRADY</t>
  </si>
  <si>
    <t>Étiqueteuse M211 Brady</t>
  </si>
  <si>
    <t>Vérifier visuellement la distinction avec le Kit M211</t>
  </si>
  <si>
    <t>Étiqueteuse M210 Brady</t>
  </si>
  <si>
    <t>Reclassé depuis "Autres" ; vérifier distinction avec M210-LAB</t>
  </si>
  <si>
    <t>Logiciel Vesion R-Server VeEX</t>
  </si>
  <si>
    <t>Logiciels</t>
  </si>
  <si>
    <t>Tests et Mesures</t>
  </si>
  <si>
    <t>Mini OTDR VeEX OPX-BOXe</t>
  </si>
  <si>
    <t>OTDR/Réflectomètres</t>
  </si>
  <si>
    <t>Photomètre PON 10G FX41xT VeEX</t>
  </si>
  <si>
    <t>Photomètres &amp; Lasers</t>
  </si>
  <si>
    <t>Réflectomètre OTDR VeEX FX150+</t>
  </si>
  <si>
    <t>Réflectomètres, Tests et Mesures</t>
  </si>
  <si>
    <t>Compteur VeEX PX90</t>
  </si>
  <si>
    <t>Compteurs</t>
  </si>
  <si>
    <t>Analyseur PON FX120 VeEX</t>
  </si>
  <si>
    <t>Gamme SFP Newlinks (page de présentation)</t>
  </si>
  <si>
    <t>Newlinks</t>
  </si>
  <si>
    <t>Modules optiques</t>
  </si>
  <si>
    <t>PAGE WORDPRESS hors catalogue — présente la gamme Newlinks et redirige vers newlinks.tech. Pas de fiche produit WooCommerce, pas de CTA devis. Voir onglet "Page Newlinks — Spec".</t>
  </si>
  <si>
    <t>Page WP (hors catalogue)</t>
  </si>
  <si>
    <t>Soudeuse Fujikura 41S+</t>
  </si>
  <si>
    <t>Fujikura</t>
  </si>
  <si>
    <t>Soudeuses</t>
  </si>
  <si>
    <t>Autres, Soudeuses Fibre Optique</t>
  </si>
  <si>
    <t>Soudeuse Fujikura 90S+</t>
  </si>
  <si>
    <t>Soudeuses Fibre Optique</t>
  </si>
  <si>
    <t>OTDR ECN50</t>
  </si>
  <si>
    <t>Wisea</t>
  </si>
  <si>
    <t>Réflectomètres</t>
  </si>
  <si>
    <t>Recharge</t>
  </si>
  <si>
    <t>Recharges</t>
  </si>
  <si>
    <t>Aiguilles fibre optiques</t>
  </si>
  <si>
    <t>Longueurs variables à préciser  Voir onglet "Produits variables — Specs".</t>
  </si>
  <si>
    <t>Variable</t>
  </si>
  <si>
    <t>Aiguille de tirage</t>
  </si>
  <si>
    <t>Aiguilles de tirage</t>
  </si>
  <si>
    <t>Longueurs et diamètre variables à préciser Voir onglet "Produits variables — Specs".</t>
  </si>
  <si>
    <t>Embout pour aiguille de tirage</t>
  </si>
  <si>
    <t>Accessoires de tirage</t>
  </si>
  <si>
    <t>Tête flex</t>
  </si>
  <si>
    <t>Cliveuse Sumitomo FC-8R</t>
  </si>
  <si>
    <t>Sumitomo</t>
  </si>
  <si>
    <t>Cliveuses</t>
  </si>
  <si>
    <t>Cliveuse Fibre Optique</t>
  </si>
  <si>
    <t>Cliveuse Sumitomo FC-6+</t>
  </si>
  <si>
    <t>Soudeuse Sumitomo T-502S</t>
  </si>
  <si>
    <t>Soudeuse Sumitomo T-402S</t>
  </si>
  <si>
    <t>Soudeuse Sumitomo T72C+</t>
  </si>
  <si>
    <t>Soudeuse Sumitomo T-57C+</t>
  </si>
  <si>
    <t>Stylo laser Fiberpoint 250HP</t>
  </si>
  <si>
    <t>Fiberpoint</t>
  </si>
  <si>
    <t>Lasers et Photomètres</t>
  </si>
  <si>
    <t>Stylo laser Fiberpoint 250</t>
  </si>
  <si>
    <t>Électrodes Sumitomo ER-10</t>
  </si>
  <si>
    <t>Électrodes</t>
  </si>
  <si>
    <t>Électrodes Fujikura</t>
  </si>
  <si>
    <t>Colliers de Serrage</t>
  </si>
  <si>
    <t>Colliers</t>
  </si>
  <si>
    <t>Tiroirs optiques pivotants</t>
  </si>
  <si>
    <t>Tiroirs optiques</t>
  </si>
  <si>
    <t>Raccordement Optique</t>
  </si>
  <si>
    <t>Tiroirs optiques coulissants</t>
  </si>
  <si>
    <t>Tiroirs Optiques Actifs</t>
  </si>
  <si>
    <t>Pigtails</t>
  </si>
  <si>
    <t>Page consolidée — attributs Connectique / Type de fibre / Longueur. Valeurs à confirmer.</t>
  </si>
  <si>
    <t>Jarretières Optiques</t>
  </si>
  <si>
    <t>Jarretières</t>
  </si>
  <si>
    <t>PTO</t>
  </si>
  <si>
    <t>Page consolidée — attribut "Nombre de fibres" (1FO / 2FO / 4FO).</t>
  </si>
  <si>
    <t>MPO</t>
  </si>
  <si>
    <t>Breakout</t>
  </si>
  <si>
    <t>Page consolidée (ex-Breakout Multimode + Breakout Monomode) — attribut "Type de fibre".</t>
  </si>
  <si>
    <t>SMOOVES 60MM</t>
  </si>
  <si>
    <t>Divers</t>
  </si>
  <si>
    <t>Multimètre optique VeEX FL150 FaultScout</t>
  </si>
  <si>
    <t>Multimètres optiques</t>
  </si>
  <si>
    <t>Nouveau (à créer) — Certifie une liaison optique en ~30 s sur une seule connexion fibre, avec cartographie de lien V-Scout et OPM en ligne pour signaux PON 1490/1577 nm. ⚠ Corrige ma note interne : le produit VeEX s'appelle FL150 (FaultScout), pas "FL41".</t>
  </si>
  <si>
    <t>Photomètre PON VeEX FX81 / FX81T</t>
  </si>
  <si>
    <t>Nouveau (à créer) — Photomètre PON 1G/10G/25G. Confirmer si on référence le FX81, le FX81T, ou les deux (candidat à un produit variable si les deux).</t>
  </si>
  <si>
    <t>Analyseur de canaux DWDM VeEX FX92</t>
  </si>
  <si>
    <t>Analyseurs de spectre (OCC)</t>
  </si>
  <si>
    <t>Nouveau (à créer) — Optical Channel Checker DWDM.</t>
  </si>
  <si>
    <t>Analyseur de canaux xWDM VeEX FX182</t>
  </si>
  <si>
    <t>Nouveau (à créer) — Optical Channel Checker xWDM.</t>
  </si>
  <si>
    <t>Analyseur de canaux CWDM VeEX FX180X</t>
  </si>
  <si>
    <t>Nouveau (à créer) — Optical Channel Checker CWDM.</t>
  </si>
  <si>
    <t>Mini OTDR VeEX FX160 FiberBEAST</t>
  </si>
  <si>
    <t>À vérifier</t>
  </si>
  <si>
    <t>Nouveau (à créer) — OTDR portable de la gamme VeEX, positionné à côté du FX150+. À confirmer : est-il au catalogue ExpertCN ou fait-il doublon commercial avec le FX150+ ?</t>
  </si>
  <si>
    <t>Étiqueteuse M410 BRADY</t>
  </si>
  <si>
    <t>Nouveau (à créer) — Remplace le BMP41. Impression autonome (sans téléphone/PC).</t>
  </si>
  <si>
    <t>Étiqueteuse M511 BRADY</t>
  </si>
  <si>
    <t>Nouveau (à créer) — Version Bluetooth du M510, étiquettes 2x plus larges, impression bord à bord. Compatible app Express Labels.</t>
  </si>
  <si>
    <t>Étiqueteuse M611 BRADY</t>
  </si>
  <si>
    <t>Nouveau (à créer) — Version connectée du M610 (Bluetooth + Wi-Fi), compatible logiciel Brady Workstation.</t>
  </si>
  <si>
    <t>Cartouches étiquettes Brady M21 (M210 / M211)</t>
  </si>
  <si>
    <t>Étiquettes &amp; Rubans</t>
  </si>
  <si>
    <t>Nouveau (à créer) — Plus de 90 cartouches compatibles : auto-laminantes pour fils, gaines thermorétractables, étiquettes de panneaux de brassage. Page variable (attributs Matière / Largeur) — gamme à cadrer avec le catalogue Brady.</t>
  </si>
  <si>
    <t>Étiquettes &amp; rubans Brady M4/M5 (M410 / M510 / M511)</t>
  </si>
  <si>
    <t>Nouveau (à créer) — Page variable (attributs Matière / Largeur). Références exactes à cadrer.</t>
  </si>
  <si>
    <t>Étiquettes &amp; rubans Brady M6/M7 (M610 / M611 / M710)</t>
  </si>
  <si>
    <t>Nouveau (à créer) — Gamme M6/M7 : nylon auto-enroulant, PermaSleeve thermorétractable, étiquettes en relief (B-593). Page variable (Matière / Largeur).</t>
  </si>
  <si>
    <t>Soudeuse Sumitomo Q102-CA+ Quantum</t>
  </si>
  <si>
    <t>Nouveau (à créer) — Flagship Sumitomo à alignement de cœur. Soudure en 5 s et chauffe de manchon en 9 s grâce à ses deux fours indépendants ; technologie NanoTune™ d'ajustement automatique des paramètres.</t>
  </si>
  <si>
    <t>Soudeuse Fujikura 90R (rubans)</t>
  </si>
  <si>
    <t>Nouveau (à créer) — Soudeuse pour fibres rubanées (jusqu'à 12 fibres). À confirmer : demande client réelle ?</t>
  </si>
  <si>
    <t>Soudeuse Fujikura 31S+</t>
  </si>
  <si>
    <t>Nouveau (à créer) — Entrée de gamme sous le 41S+. À confirmer : au catalogue, ou fait-il doublon avec le 41S+ ?</t>
  </si>
  <si>
    <t>ONT/HGU GPON Raisecom ISCOM HT803G</t>
  </si>
  <si>
    <t>Raisecom</t>
  </si>
  <si>
    <t>CPE</t>
  </si>
  <si>
    <t>Nouveau (à créer) — Série d'ONT/passerelles GPON pour FTTH : Internet haut débit, IPTV, voix, Wi-Fi 5/6 avec antennes MIMO. Provisioning TR-069 et supervision SNMP. Page variable (déclinaisons HT803G-1GE, -WS, -WS2...) — variantes à confirmer.</t>
  </si>
  <si>
    <t>ONT stick SFP Raisecom ISCOM HT801-GSFP</t>
  </si>
  <si>
    <t>Nouveau (à créer) — ONT GPON au format SFP, insérable dans un port MSA. Format compact original — bon candidat à un contenu SEO dédié.</t>
  </si>
  <si>
    <t>ONT bridge GPON Raisecom ISCOM5104G-GP-HB</t>
  </si>
  <si>
    <t>Nouveau (à créer) — ONT bridge GPON avec 4 ports GbE, ciblé PME : interconnexion multi-LAN, vidéosurveillance.</t>
  </si>
  <si>
    <t>CPE Ethernet Raisecom RAX711-R</t>
  </si>
  <si>
    <t>Nouveau (à créer) — CPE pour liaisons louées 1G/10G et backhaul mobile 4G/5G. Certifié MEF CE2.0 (E-Line, E-LAN, E-Tree).</t>
  </si>
  <si>
    <t>Switch industriel Raisecom Gazelle (rack 19")</t>
  </si>
  <si>
    <t>Switches</t>
  </si>
  <si>
    <t>Nouveau (à créer) — Switches industriels rack 19" (série S3028i) : jusqu'à 4 uplinks 10GE/GE et 48 downlinks GE. Conformes IEC 61850-3 / IEEE 1613, design fanless, protection en anneau ITU-T G.8032 (bascule &lt; 50 ms). Page variable (déclinaisons L2/L3) — à cadrer.</t>
  </si>
  <si>
    <t>Switch industriel Raisecom Gazelle DIN-Rail</t>
  </si>
  <si>
    <t>Nouveau (à créer) — Switches industriels compacts DIN-Rail managés, large choix de ports/débits/médias. (Série ISCOM1000-I = version non managée.)</t>
  </si>
  <si>
    <t>OLT GPON Raisecom ISCOM6820-GP</t>
  </si>
  <si>
    <t>OLT</t>
  </si>
  <si>
    <t>Nouveau (à créer) — OLT GPON compact 2U (ITU-T G.984) : jusqu'à 32 ports GPON, 4 uplinks 10GbE, jusqu'à 4 096 ONU/ONT agrégés avec un taux de couplage max de 1:128.</t>
  </si>
  <si>
    <t>OLT GPON compact Raisecom ISCOM5508-GP</t>
  </si>
  <si>
    <t>Nouveau (à créer) — OLT GPON compact. À confirmer : au catalogue ExpertCN ?</t>
  </si>
  <si>
    <t>Plateforme OLT Raisecom ISCOM6800 / ISCOM6860</t>
  </si>
  <si>
    <t>Nouveau (à créer) — Plateformes OLT grande capacité (13U / châssis moyen), GPON + XG(S)-PON + EPON. Probablement hors cible ExpertCN (opérateurs) — à trancher.</t>
  </si>
  <si>
    <t>Spécifications — Pages produit variables (WooCommerce)</t>
  </si>
  <si>
    <t>Type WooCommerce : "Produit variable". Aucun développement custom, aucun CPT : on définit des Attributs, puis WooCommerce génère les Variations (chacune avec son SKU, prix, stock, image).</t>
  </si>
  <si>
    <t>1. Recharge — PRÊT À TRANSMETTRE</t>
  </si>
  <si>
    <t>Attribut :</t>
  </si>
  <si>
    <t>Longueur</t>
  </si>
  <si>
    <t>Variations :</t>
  </si>
  <si>
    <t>5 (toutes les valeurs de l'attribut unique)</t>
  </si>
  <si>
    <t>Variation</t>
  </si>
  <si>
    <t>SKU (à compléter)</t>
  </si>
  <si>
    <t>Prix (à compléter)</t>
  </si>
  <si>
    <t>Recharge 30M</t>
  </si>
  <si>
    <t>30M</t>
  </si>
  <si>
    <t>Recharge 60M</t>
  </si>
  <si>
    <t>60M</t>
  </si>
  <si>
    <t>Recharge 100M</t>
  </si>
  <si>
    <t>100M</t>
  </si>
  <si>
    <t>Recharge 150M</t>
  </si>
  <si>
    <t>150M</t>
  </si>
  <si>
    <t>Recharge 300M</t>
  </si>
  <si>
    <t>300M</t>
  </si>
  <si>
    <t>2. Aiguille de tirage — PRÊT À TRANSMETTRE</t>
  </si>
  <si>
    <t>Attributs :</t>
  </si>
  <si>
    <t>Longueur + Diamètre</t>
  </si>
  <si>
    <t>⚠ Variations :</t>
  </si>
  <si>
    <t>PAS toutes les combinaisons. Chaque longueur a UN diamètre fixe : ne créer que ces 5 variations, pas les 20 combinaisons possibles.</t>
  </si>
  <si>
    <t>Diamètre</t>
  </si>
  <si>
    <t>SKU / Prix (à compléter)</t>
  </si>
  <si>
    <t>Aiguille 30M</t>
  </si>
  <si>
    <t>À confirmer</t>
  </si>
  <si>
    <t>Aiguille 60M</t>
  </si>
  <si>
    <t>4.5MM</t>
  </si>
  <si>
    <t>Aiguille 100M</t>
  </si>
  <si>
    <t>6-7MM</t>
  </si>
  <si>
    <t>Aiguille 150M</t>
  </si>
  <si>
    <t>9MM</t>
  </si>
  <si>
    <t>Aiguille 300M</t>
  </si>
  <si>
    <t>11MM</t>
  </si>
  <si>
    <t>3. PTO — PRÊT À TRANSMETTRE</t>
  </si>
  <si>
    <t>Nombre de fibres</t>
  </si>
  <si>
    <t>3 — PTO 1FO, PTO 2FO, PTO 4FO</t>
  </si>
  <si>
    <t>4. Breakout — PRÊT À TRANSMETTRE</t>
  </si>
  <si>
    <t>Type de fibre</t>
  </si>
  <si>
    <t>2 — Monomode, Multimode (remplace les 2 anciennes pages séparées)</t>
  </si>
  <si>
    <t>5. Jarretières optiques &amp; Pigtails — ATTRIBUTS À CONFIRMER PAR MEHDI</t>
  </si>
  <si>
    <t>⚠ Statut :</t>
  </si>
  <si>
    <t>Structure proposée, valeurs NON validées. Ne pas transmettre à Nassim en l'état.</t>
  </si>
  <si>
    <t>Attribut proposé</t>
  </si>
  <si>
    <t>Valeurs proposées</t>
  </si>
  <si>
    <t>Question pour Mehdi</t>
  </si>
  <si>
    <t>Réponse</t>
  </si>
  <si>
    <t>Connectique</t>
  </si>
  <si>
    <t>SC / LC / FC / ST (+ variantes APC/UPC ?)</t>
  </si>
  <si>
    <t>Quelles connectiques au catalogue ?</t>
  </si>
  <si>
    <t>Monomode (OS2) / Multimode (OM3, OM4)</t>
  </si>
  <si>
    <t>Quels types réellement vendus ?</t>
  </si>
  <si>
    <t>1m / 2m / 3m / 5m / 10m...</t>
  </si>
  <si>
    <t>Quelles longueurs standard ?</t>
  </si>
  <si>
    <t>⚠ Attention :</t>
  </si>
  <si>
    <t>Connectique × Type de fibre × Longueur = potentiellement des centaines de variations. Il faudra restreindre aux combinaisons réellement vendues, sinon la page devient ingérable.</t>
  </si>
  <si>
    <t>6. Autres pages variables introduites — STRUCTURE À CADRER</t>
  </si>
  <si>
    <t>Page</t>
  </si>
  <si>
    <t>Attributs proposés</t>
  </si>
  <si>
    <t>À cadrer avec</t>
  </si>
  <si>
    <t>Cartouches Brady M21</t>
  </si>
  <si>
    <t>Matière + Largeur</t>
  </si>
  <si>
    <t>Catalogue Brady (90+ cartouches)</t>
  </si>
  <si>
    <t>Étiquettes/rubans Brady M4/M5</t>
  </si>
  <si>
    <t>Catalogue Brady</t>
  </si>
  <si>
    <t>Étiquettes/rubans Brady M6/M7</t>
  </si>
  <si>
    <t>ONT Raisecom ISCOM HT803G</t>
  </si>
  <si>
    <t>Modèle (1GE / WS / WS2...)</t>
  </si>
  <si>
    <t>Catalogue Raisecom</t>
  </si>
  <si>
    <t>Switch Gazelle rack 19"</t>
  </si>
  <si>
    <t>Modèle (L2 / L3, nb de ports)</t>
  </si>
  <si>
    <t>Page Newlinks — brief pour Nassim</t>
  </si>
  <si>
    <t>Type</t>
  </si>
  <si>
    <t>Page WordPress classique. PAS une fiche produit WooCommerce, PAS une catégorie produit.</t>
  </si>
  <si>
    <t>Objectif</t>
  </si>
  <si>
    <t>Présenter la gamme de modules optiques Newlinks (SFP / SFP+ / QSFP, transceivers compatibles) et rediriger le trafic vers newlinks.tech.</t>
  </si>
  <si>
    <t>Ce qu'elle N'EST PAS</t>
  </si>
  <si>
    <t>Pas de prix, pas de "Ajouter au panier", pas de "Demander un devis". Aucune transaction sur expertcn.fr.</t>
  </si>
  <si>
    <t>CTA principal</t>
  </si>
  <si>
    <t>Bouton "Découvrir la gamme Newlinks" → https://newlinks.tech (ouverture dans un nouvel onglet).</t>
  </si>
  <si>
    <t>Contenu suggéré</t>
  </si>
  <si>
    <t>1) Accroche : la gamme de modules optiques compatibles multi-constructeurs. 2) Les familles (SFP, SFP+, QSFP). 3) Le différenciateur : la Newlinks Coding Box (reprogrammateur de modules autonome et portable). 4) CTA vers newlinks.tech.</t>
  </si>
  <si>
    <t>Emplacement dans le menu</t>
  </si>
  <si>
    <t>⚠ À TRANCHER. Deux options : (a) hors boutique, dans le menu principal (ex : "Nos marques" / "Partenaires") — le plus propre et le plus logique pour l'utilisateur ; (b) en entrée du menu boutique sous Équipements Actifs &gt; "Modules optiques", en forçant le lien vers cette page WordPress au lieu d'une archive de catégorie WooCommerce. Option (b) retenue par défaut pour respecter ta demande, mais l'option (a) est plus saine.</t>
  </si>
  <si>
    <t>SEO</t>
  </si>
  <si>
    <t>Attention à la cannibalisation : cette page ne doit PAS se positionner sur les requêtes visées par newlinks.tech (ex : "SFP compatible"). La cibler sur une intention de marque/partenariat plutôt que produit.</t>
  </si>
  <si>
    <t>Suivi</t>
  </si>
  <si>
    <t>Prévoir un tracking sur le clic sortant vers newlinks.tech, pour mesurer le trafic réellement transféré.</t>
  </si>
  <si>
    <t>Soudeuse Sumitomo TYPE-72M12+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</si>
</sst>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charset val="1"/>
    </font>
    <font>
      <b/>
      <sz val="14"/>
      <color rgb="FF1B3A5C"/>
      <name val="Arial"/>
      <charset val="1"/>
    </font>
    <font>
      <i/>
      <sz val="10"/>
      <color rgb="FF666666"/>
      <name val="Arial"/>
      <charset val="1"/>
    </font>
    <font>
      <b/>
      <sz val="11"/>
      <color rgb="FF00A89D"/>
      <name val="Arial"/>
      <charset val="1"/>
    </font>
    <font>
      <sz val="10"/>
      <name val="Arial"/>
      <charset val="1"/>
    </font>
    <font>
      <b/>
      <sz val="11"/>
      <color rgb="FFFFFFFF"/>
      <name val="Arial"/>
      <charset val="1"/>
    </font>
    <font>
      <b/>
      <sz val="10"/>
      <name val="Arial"/>
      <charset val="1"/>
    </font>
    <font>
      <i/>
      <sz val="9"/>
      <color rgb="FF666666"/>
      <name val="Arial"/>
      <charset val="1"/>
    </font>
    <font>
      <b/>
      <sz val="10"/>
      <color rgb="FF1B3A5C"/>
      <name val="Arial"/>
      <charset val="1"/>
    </font>
    <font>
      <b/>
      <sz val="10"/>
      <color rgb="FF5B3A8E"/>
      <name val="Arial"/>
      <charset val="1"/>
    </font>
    <font>
      <b/>
      <sz val="10"/>
      <color rgb="FF000000"/>
      <name val="Arial"/>
      <charset val="1"/>
    </font>
    <font>
      <b/>
      <sz val="10"/>
      <color rgb="FFB7472A"/>
      <name val="Arial"/>
      <charset val="1"/>
    </font>
    <font>
      <sz val="10"/>
      <name val="Arial"/>
      <family val="2"/>
    </font>
  </fonts>
  <fills count="10">
    <fill>
      <patternFill patternType="none"/>
    </fill>
    <fill>
      <patternFill patternType="gray125"/>
    </fill>
    <fill>
      <patternFill patternType="solid">
        <fgColor rgb="FF1B3A5C"/>
        <bgColor rgb="FF333333"/>
      </patternFill>
    </fill>
    <fill>
      <patternFill patternType="solid">
        <fgColor rgb="FFEAF1F8"/>
        <bgColor rgb="FFE8F4EA"/>
      </patternFill>
    </fill>
    <fill>
      <patternFill patternType="solid">
        <fgColor rgb="FFFFF2CC"/>
        <bgColor rgb="FFE8F4EA"/>
      </patternFill>
    </fill>
    <fill>
      <patternFill patternType="solid">
        <fgColor rgb="FFC6EFCE"/>
        <bgColor rgb="FFD9E6F5"/>
      </patternFill>
    </fill>
    <fill>
      <patternFill patternType="solid">
        <fgColor rgb="FFE4D9F5"/>
        <bgColor rgb="FFD9E6F5"/>
      </patternFill>
    </fill>
    <fill>
      <patternFill patternType="solid">
        <fgColor rgb="FFD9E6F5"/>
        <bgColor rgb="FFE4D9F5"/>
      </patternFill>
    </fill>
    <fill>
      <patternFill patternType="solid">
        <fgColor rgb="FFE8F4EA"/>
        <bgColor rgb="FFEAF1F8"/>
      </patternFill>
    </fill>
    <fill>
      <patternFill patternType="solid">
        <fgColor rgb="FFFFE699"/>
        <bgColor rgb="FFFFF2CC"/>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32">
    <xf numFmtId="0" fontId="0" fillId="0" borderId="0" xfId="0"/>
    <xf numFmtId="0" fontId="5" fillId="2" borderId="1" xfId="0" applyFont="1" applyFill="1" applyBorder="1" applyAlignment="1">
      <alignment horizontal="center" vertical="center" wrapText="1"/>
    </xf>
    <xf numFmtId="0" fontId="6" fillId="0" borderId="1" xfId="0" applyFont="1" applyBorder="1" applyAlignment="1">
      <alignment vertical="center" wrapText="1"/>
    </xf>
    <xf numFmtId="0" fontId="4" fillId="0" borderId="1" xfId="0" applyFont="1" applyBorder="1" applyAlignment="1">
      <alignment vertical="center" wrapText="1"/>
    </xf>
    <xf numFmtId="0" fontId="4" fillId="0" borderId="1" xfId="0" applyFont="1" applyBorder="1" applyAlignment="1">
      <alignment horizontal="center"/>
    </xf>
    <xf numFmtId="0" fontId="7" fillId="0" borderId="1" xfId="0" applyFont="1" applyBorder="1" applyAlignment="1">
      <alignment vertical="center" wrapText="1"/>
    </xf>
    <xf numFmtId="0" fontId="8" fillId="3" borderId="1" xfId="0" applyFont="1" applyFill="1" applyBorder="1"/>
    <xf numFmtId="0" fontId="0" fillId="3" borderId="1" xfId="0" applyFill="1" applyBorder="1"/>
    <xf numFmtId="0" fontId="6" fillId="3" borderId="1" xfId="0" applyFont="1" applyFill="1" applyBorder="1" applyAlignment="1">
      <alignment horizontal="center"/>
    </xf>
    <xf numFmtId="0" fontId="4" fillId="0" borderId="1" xfId="0" applyFont="1" applyBorder="1" applyAlignment="1">
      <alignment vertical="center"/>
    </xf>
    <xf numFmtId="0" fontId="4" fillId="4" borderId="1" xfId="0" applyFont="1" applyFill="1" applyBorder="1" applyAlignment="1">
      <alignment vertical="center"/>
    </xf>
    <xf numFmtId="0" fontId="4" fillId="4" borderId="1" xfId="0" applyFont="1" applyFill="1" applyBorder="1" applyAlignment="1">
      <alignment vertical="center" wrapText="1"/>
    </xf>
    <xf numFmtId="0" fontId="6" fillId="5" borderId="1" xfId="0" applyFont="1" applyFill="1" applyBorder="1" applyAlignment="1">
      <alignment vertical="center"/>
    </xf>
    <xf numFmtId="0" fontId="9" fillId="6" borderId="1" xfId="0" applyFont="1" applyFill="1" applyBorder="1" applyAlignment="1">
      <alignment vertical="center"/>
    </xf>
    <xf numFmtId="0" fontId="8" fillId="7" borderId="1" xfId="0" applyFont="1" applyFill="1" applyBorder="1" applyAlignment="1">
      <alignment vertical="center"/>
    </xf>
    <xf numFmtId="0" fontId="4" fillId="8" borderId="1" xfId="0" applyFont="1" applyFill="1" applyBorder="1" applyAlignment="1">
      <alignment vertical="center"/>
    </xf>
    <xf numFmtId="0" fontId="6" fillId="9" borderId="1" xfId="0" applyFont="1" applyFill="1" applyBorder="1" applyAlignment="1">
      <alignment vertical="center"/>
    </xf>
    <xf numFmtId="0" fontId="10" fillId="0" borderId="0" xfId="0" applyFont="1"/>
    <xf numFmtId="0" fontId="4" fillId="0" borderId="1" xfId="0" applyFont="1" applyBorder="1"/>
    <xf numFmtId="0" fontId="0" fillId="4" borderId="1" xfId="0" applyFill="1" applyBorder="1"/>
    <xf numFmtId="0" fontId="11" fillId="0" borderId="0" xfId="0" applyFont="1"/>
    <xf numFmtId="0" fontId="4" fillId="4" borderId="1" xfId="0" applyFont="1" applyFill="1" applyBorder="1"/>
    <xf numFmtId="0" fontId="4" fillId="0" borderId="1" xfId="0" applyFont="1" applyBorder="1" applyAlignment="1">
      <alignment wrapText="1"/>
    </xf>
    <xf numFmtId="0" fontId="0" fillId="0" borderId="1" xfId="0" applyBorder="1"/>
    <xf numFmtId="0" fontId="8" fillId="0" borderId="1" xfId="0" applyFont="1" applyBorder="1" applyAlignment="1">
      <alignment vertical="top" wrapText="1"/>
    </xf>
    <xf numFmtId="0" fontId="4" fillId="0" borderId="1" xfId="0" applyFont="1" applyBorder="1" applyAlignment="1">
      <alignment vertical="top" wrapText="1"/>
    </xf>
    <xf numFmtId="0" fontId="12" fillId="8" borderId="1" xfId="0" applyFont="1" applyFill="1" applyBorder="1" applyAlignment="1">
      <alignment vertical="center"/>
    </xf>
    <xf numFmtId="0" fontId="12" fillId="0" borderId="1" xfId="0" applyFont="1" applyBorder="1" applyAlignment="1">
      <alignment vertical="center"/>
    </xf>
    <xf numFmtId="0" fontId="1" fillId="0" borderId="0" xfId="0" applyFont="1"/>
    <xf numFmtId="0" fontId="4" fillId="0" borderId="0" xfId="0" applyFont="1" applyAlignment="1">
      <alignment vertical="center" wrapText="1"/>
    </xf>
    <xf numFmtId="0" fontId="3" fillId="0" borderId="0" xfId="0" applyFont="1"/>
    <xf numFmtId="0" fontId="2"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A89D"/>
      <rgbColor rgb="FFCCCCCC"/>
      <rgbColor rgb="FF808080"/>
      <rgbColor rgb="FF9999FF"/>
      <rgbColor rgb="FF993366"/>
      <rgbColor rgb="FFFFF2CC"/>
      <rgbColor rgb="FFE8F4EA"/>
      <rgbColor rgb="FF660066"/>
      <rgbColor rgb="FFFF8080"/>
      <rgbColor rgb="FF0066CC"/>
      <rgbColor rgb="FFE4D9F5"/>
      <rgbColor rgb="FF000080"/>
      <rgbColor rgb="FFFF00FF"/>
      <rgbColor rgb="FFFFFF00"/>
      <rgbColor rgb="FF00FFFF"/>
      <rgbColor rgb="FF800080"/>
      <rgbColor rgb="FF800000"/>
      <rgbColor rgb="FF008080"/>
      <rgbColor rgb="FF0000FF"/>
      <rgbColor rgb="FF00CCFF"/>
      <rgbColor rgb="FFEAF1F8"/>
      <rgbColor rgb="FFC6EFCE"/>
      <rgbColor rgb="FFFFE699"/>
      <rgbColor rgb="FFD9E6F5"/>
      <rgbColor rgb="FFFF99CC"/>
      <rgbColor rgb="FFCC99FF"/>
      <rgbColor rgb="FFFFCC99"/>
      <rgbColor rgb="FF3366FF"/>
      <rgbColor rgb="FF33CCCC"/>
      <rgbColor rgb="FF99CC00"/>
      <rgbColor rgb="FFFFCC00"/>
      <rgbColor rgb="FFFF9900"/>
      <rgbColor rgb="FFFF6600"/>
      <rgbColor rgb="FF666666"/>
      <rgbColor rgb="FF969696"/>
      <rgbColor rgb="FF1B3A5C"/>
      <rgbColor rgb="FF339966"/>
      <rgbColor rgb="FF003300"/>
      <rgbColor rgb="FF333300"/>
      <rgbColor rgb="FFB7472A"/>
      <rgbColor rgb="FF993366"/>
      <rgbColor rgb="FF5B3A8E"/>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1"/>
  <sheetViews>
    <sheetView showGridLines="0" tabSelected="1" zoomScaleNormal="100" workbookViewId="0">
      <pane ySplit="2" topLeftCell="A3" activePane="bottomLeft" state="frozen"/>
      <selection pane="bottomLeft" sqref="A1:D1"/>
    </sheetView>
  </sheetViews>
  <sheetFormatPr baseColWidth="10" defaultColWidth="8.7109375" defaultRowHeight="15" x14ac:dyDescent="0.25"/>
  <cols>
    <col min="1" max="1" width="26" customWidth="1"/>
    <col min="2" max="2" width="52" customWidth="1"/>
    <col min="3" max="3" width="14" customWidth="1"/>
    <col min="4" max="4" width="56" customWidth="1"/>
  </cols>
  <sheetData>
    <row r="1" spans="1:4" ht="18" x14ac:dyDescent="0.25">
      <c r="A1" s="28" t="s">
        <v>0</v>
      </c>
      <c r="B1" s="28"/>
      <c r="C1" s="28"/>
      <c r="D1" s="28"/>
    </row>
    <row r="2" spans="1:4" x14ac:dyDescent="0.25">
      <c r="A2" s="1" t="s">
        <v>1</v>
      </c>
      <c r="B2" s="1" t="s">
        <v>2</v>
      </c>
      <c r="C2" s="1" t="s">
        <v>3</v>
      </c>
      <c r="D2" s="1" t="s">
        <v>4</v>
      </c>
    </row>
    <row r="3" spans="1:4" ht="45.75" customHeight="1" x14ac:dyDescent="0.25">
      <c r="A3" s="2" t="s">
        <v>5</v>
      </c>
      <c r="B3" s="3" t="s">
        <v>6</v>
      </c>
      <c r="C3" s="4">
        <f>COUNTIF(Produits!$C:$C,$A3)</f>
        <v>16</v>
      </c>
      <c r="D3" s="5" t="s">
        <v>7</v>
      </c>
    </row>
    <row r="4" spans="1:4" ht="45.75" customHeight="1" x14ac:dyDescent="0.25">
      <c r="A4" s="2" t="s">
        <v>8</v>
      </c>
      <c r="B4" s="3" t="s">
        <v>9</v>
      </c>
      <c r="C4" s="4">
        <f>COUNTIF(Produits!$C:$C,$A4)</f>
        <v>12</v>
      </c>
      <c r="D4" s="5" t="s">
        <v>10</v>
      </c>
    </row>
    <row r="5" spans="1:4" ht="45.75" customHeight="1" x14ac:dyDescent="0.25">
      <c r="A5" s="2" t="s">
        <v>11</v>
      </c>
      <c r="B5" s="3" t="s">
        <v>12</v>
      </c>
      <c r="C5" s="4">
        <f>COUNTIF(Produits!$C:$C,$A5)</f>
        <v>8</v>
      </c>
      <c r="D5" s="5" t="s">
        <v>13</v>
      </c>
    </row>
    <row r="6" spans="1:4" ht="45.75" customHeight="1" x14ac:dyDescent="0.25">
      <c r="A6" s="2" t="s">
        <v>14</v>
      </c>
      <c r="B6" s="3" t="s">
        <v>15</v>
      </c>
      <c r="C6" s="4">
        <f>COUNTIF(Produits!$C:$C,$A6)</f>
        <v>10</v>
      </c>
      <c r="D6" s="5" t="s">
        <v>16</v>
      </c>
    </row>
    <row r="7" spans="1:4" ht="45.75" customHeight="1" x14ac:dyDescent="0.25">
      <c r="A7" s="2" t="s">
        <v>17</v>
      </c>
      <c r="B7" s="3" t="s">
        <v>18</v>
      </c>
      <c r="C7" s="4">
        <f>COUNTIF(Produits!$C:$C,$A7)</f>
        <v>4</v>
      </c>
      <c r="D7" s="5" t="s">
        <v>19</v>
      </c>
    </row>
    <row r="8" spans="1:4" ht="45.75" customHeight="1" x14ac:dyDescent="0.25">
      <c r="A8" s="2" t="s">
        <v>20</v>
      </c>
      <c r="B8" s="3" t="s">
        <v>21</v>
      </c>
      <c r="C8" s="4">
        <f>COUNTIF(Produits!$C:$C,$A8)</f>
        <v>10</v>
      </c>
      <c r="D8" s="5" t="s">
        <v>22</v>
      </c>
    </row>
    <row r="9" spans="1:4" ht="45.75" customHeight="1" x14ac:dyDescent="0.25">
      <c r="A9" s="2" t="s">
        <v>23</v>
      </c>
      <c r="B9" s="3" t="s">
        <v>24</v>
      </c>
      <c r="C9" s="4">
        <f>COUNTIF(Produits!$C:$C,$A9)</f>
        <v>7</v>
      </c>
      <c r="D9" s="5" t="s">
        <v>25</v>
      </c>
    </row>
    <row r="10" spans="1:4" ht="45.75" customHeight="1" x14ac:dyDescent="0.25">
      <c r="A10" s="2" t="s">
        <v>26</v>
      </c>
      <c r="B10" s="3" t="s">
        <v>27</v>
      </c>
      <c r="C10" s="4">
        <f>COUNTIF(Produits!$C:$C,$A10)</f>
        <v>0</v>
      </c>
      <c r="D10" s="5" t="s">
        <v>28</v>
      </c>
    </row>
    <row r="11" spans="1:4" x14ac:dyDescent="0.25">
      <c r="A11" s="6" t="s">
        <v>29</v>
      </c>
      <c r="B11" s="7"/>
      <c r="C11" s="8">
        <f>SUM(C3:C10)</f>
        <v>67</v>
      </c>
      <c r="D11" s="7"/>
    </row>
  </sheetData>
  <mergeCells count="1">
    <mergeCell ref="A1:D1"/>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68"/>
  <sheetViews>
    <sheetView showGridLines="0" zoomScaleNormal="100" workbookViewId="0">
      <pane ySplit="1" topLeftCell="A32" activePane="bottomLeft" state="frozen"/>
      <selection pane="bottomLeft" activeCell="H45" sqref="H45"/>
    </sheetView>
  </sheetViews>
  <sheetFormatPr baseColWidth="10" defaultColWidth="8.7109375" defaultRowHeight="15" x14ac:dyDescent="0.25"/>
  <cols>
    <col min="1" max="1" width="50.5703125" customWidth="1"/>
    <col min="2" max="2" width="14" customWidth="1"/>
    <col min="3" max="3" width="27.7109375" customWidth="1"/>
    <col min="4" max="4" width="32.42578125" customWidth="1"/>
    <col min="5" max="5" width="24" customWidth="1"/>
    <col min="6" max="6" width="12.28515625" customWidth="1"/>
    <col min="7" max="7" width="12.7109375" customWidth="1"/>
    <col min="8" max="8" width="12.85546875" customWidth="1"/>
    <col min="9" max="9" width="14.28515625" customWidth="1"/>
    <col min="10" max="10" width="60" customWidth="1"/>
    <col min="11" max="11" width="25.140625" customWidth="1"/>
  </cols>
  <sheetData>
    <row r="1" spans="1:11" ht="45" x14ac:dyDescent="0.25">
      <c r="A1" s="1" t="s">
        <v>30</v>
      </c>
      <c r="B1" s="1" t="s">
        <v>31</v>
      </c>
      <c r="C1" s="1" t="s">
        <v>1</v>
      </c>
      <c r="D1" s="1" t="s">
        <v>32</v>
      </c>
      <c r="E1" s="1" t="s">
        <v>33</v>
      </c>
      <c r="F1" s="1" t="s">
        <v>34</v>
      </c>
      <c r="G1" s="1" t="s">
        <v>35</v>
      </c>
      <c r="H1" s="1" t="s">
        <v>36</v>
      </c>
      <c r="I1" s="1" t="s">
        <v>37</v>
      </c>
      <c r="J1" s="1" t="s">
        <v>38</v>
      </c>
      <c r="K1" s="1" t="s">
        <v>39</v>
      </c>
    </row>
    <row r="2" spans="1:11" ht="25.5" x14ac:dyDescent="0.25">
      <c r="A2" s="27" t="s">
        <v>40</v>
      </c>
      <c r="B2" s="9" t="s">
        <v>41</v>
      </c>
      <c r="C2" s="9" t="s">
        <v>5</v>
      </c>
      <c r="D2" s="9" t="s">
        <v>42</v>
      </c>
      <c r="E2" s="3" t="s">
        <v>43</v>
      </c>
      <c r="F2" s="10"/>
      <c r="G2" s="10"/>
      <c r="H2" s="11"/>
      <c r="I2" s="12" t="s">
        <v>44</v>
      </c>
      <c r="J2" s="3"/>
      <c r="K2" s="9" t="s">
        <v>45</v>
      </c>
    </row>
    <row r="3" spans="1:11" x14ac:dyDescent="0.25">
      <c r="A3" s="9" t="s">
        <v>46</v>
      </c>
      <c r="B3" s="9" t="s">
        <v>47</v>
      </c>
      <c r="C3" s="9" t="s">
        <v>20</v>
      </c>
      <c r="D3" s="9" t="s">
        <v>21</v>
      </c>
      <c r="E3" s="3" t="s">
        <v>48</v>
      </c>
      <c r="F3" s="10"/>
      <c r="G3" s="10"/>
      <c r="H3" s="11"/>
      <c r="I3" s="12" t="s">
        <v>44</v>
      </c>
      <c r="J3" s="3"/>
      <c r="K3" s="9" t="s">
        <v>45</v>
      </c>
    </row>
    <row r="4" spans="1:11" x14ac:dyDescent="0.25">
      <c r="A4" s="9" t="s">
        <v>49</v>
      </c>
      <c r="B4" s="9" t="s">
        <v>47</v>
      </c>
      <c r="C4" s="9" t="s">
        <v>20</v>
      </c>
      <c r="D4" s="9" t="s">
        <v>21</v>
      </c>
      <c r="E4" s="3" t="s">
        <v>48</v>
      </c>
      <c r="F4" s="10"/>
      <c r="G4" s="10"/>
      <c r="H4" s="11"/>
      <c r="I4" s="12" t="s">
        <v>44</v>
      </c>
      <c r="J4" s="3"/>
      <c r="K4" s="9" t="s">
        <v>45</v>
      </c>
    </row>
    <row r="5" spans="1:11" x14ac:dyDescent="0.25">
      <c r="A5" s="9" t="s">
        <v>50</v>
      </c>
      <c r="B5" s="9" t="s">
        <v>47</v>
      </c>
      <c r="C5" s="9" t="s">
        <v>20</v>
      </c>
      <c r="D5" s="9" t="s">
        <v>21</v>
      </c>
      <c r="E5" s="3" t="s">
        <v>51</v>
      </c>
      <c r="F5" s="10"/>
      <c r="G5" s="10"/>
      <c r="H5" s="11"/>
      <c r="I5" s="12" t="s">
        <v>44</v>
      </c>
      <c r="J5" s="3" t="s">
        <v>52</v>
      </c>
      <c r="K5" s="9" t="s">
        <v>45</v>
      </c>
    </row>
    <row r="6" spans="1:11" ht="38.25" x14ac:dyDescent="0.25">
      <c r="A6" s="9" t="s">
        <v>53</v>
      </c>
      <c r="B6" s="9" t="s">
        <v>47</v>
      </c>
      <c r="C6" s="9" t="s">
        <v>20</v>
      </c>
      <c r="D6" s="9" t="s">
        <v>21</v>
      </c>
      <c r="E6" s="3" t="s">
        <v>51</v>
      </c>
      <c r="F6" s="10"/>
      <c r="G6" s="10"/>
      <c r="H6" s="11"/>
      <c r="I6" s="12" t="s">
        <v>44</v>
      </c>
      <c r="J6" s="3" t="s">
        <v>54</v>
      </c>
      <c r="K6" s="9" t="s">
        <v>45</v>
      </c>
    </row>
    <row r="7" spans="1:11" x14ac:dyDescent="0.25">
      <c r="A7" s="9" t="s">
        <v>55</v>
      </c>
      <c r="B7" s="9" t="s">
        <v>47</v>
      </c>
      <c r="C7" s="9" t="s">
        <v>20</v>
      </c>
      <c r="D7" s="9" t="s">
        <v>21</v>
      </c>
      <c r="E7" s="3" t="s">
        <v>48</v>
      </c>
      <c r="F7" s="10"/>
      <c r="G7" s="10"/>
      <c r="H7" s="11"/>
      <c r="I7" s="12" t="s">
        <v>44</v>
      </c>
      <c r="J7" s="3"/>
      <c r="K7" s="9" t="s">
        <v>45</v>
      </c>
    </row>
    <row r="8" spans="1:11" x14ac:dyDescent="0.25">
      <c r="A8" s="9" t="s">
        <v>56</v>
      </c>
      <c r="B8" s="9" t="s">
        <v>47</v>
      </c>
      <c r="C8" s="9" t="s">
        <v>20</v>
      </c>
      <c r="D8" s="9" t="s">
        <v>21</v>
      </c>
      <c r="E8" s="3" t="s">
        <v>48</v>
      </c>
      <c r="F8" s="10"/>
      <c r="G8" s="10"/>
      <c r="H8" s="11"/>
      <c r="I8" s="12" t="s">
        <v>44</v>
      </c>
      <c r="J8" s="3" t="s">
        <v>57</v>
      </c>
      <c r="K8" s="9" t="s">
        <v>45</v>
      </c>
    </row>
    <row r="9" spans="1:11" x14ac:dyDescent="0.25">
      <c r="A9" s="9" t="s">
        <v>58</v>
      </c>
      <c r="B9" s="9" t="s">
        <v>47</v>
      </c>
      <c r="C9" s="9" t="s">
        <v>20</v>
      </c>
      <c r="D9" s="9" t="s">
        <v>21</v>
      </c>
      <c r="E9" s="3" t="s">
        <v>51</v>
      </c>
      <c r="F9" s="10"/>
      <c r="G9" s="10"/>
      <c r="H9" s="11"/>
      <c r="I9" s="12" t="s">
        <v>44</v>
      </c>
      <c r="J9" s="3" t="s">
        <v>59</v>
      </c>
      <c r="K9" s="9" t="s">
        <v>45</v>
      </c>
    </row>
    <row r="10" spans="1:11" x14ac:dyDescent="0.25">
      <c r="A10" s="9" t="s">
        <v>60</v>
      </c>
      <c r="B10" s="9" t="s">
        <v>41</v>
      </c>
      <c r="C10" s="9" t="s">
        <v>5</v>
      </c>
      <c r="D10" s="9" t="s">
        <v>61</v>
      </c>
      <c r="E10" s="3" t="s">
        <v>62</v>
      </c>
      <c r="F10" s="10"/>
      <c r="G10" s="10"/>
      <c r="H10" s="11"/>
      <c r="I10" s="12" t="s">
        <v>44</v>
      </c>
      <c r="J10" s="3"/>
      <c r="K10" s="9" t="s">
        <v>45</v>
      </c>
    </row>
    <row r="11" spans="1:11" x14ac:dyDescent="0.25">
      <c r="A11" s="9" t="s">
        <v>63</v>
      </c>
      <c r="B11" s="9" t="s">
        <v>41</v>
      </c>
      <c r="C11" s="9" t="s">
        <v>5</v>
      </c>
      <c r="D11" s="9" t="s">
        <v>64</v>
      </c>
      <c r="E11" s="3" t="s">
        <v>51</v>
      </c>
      <c r="F11" s="10"/>
      <c r="G11" s="10"/>
      <c r="H11" s="11"/>
      <c r="I11" s="12" t="s">
        <v>44</v>
      </c>
      <c r="J11" s="3" t="s">
        <v>52</v>
      </c>
      <c r="K11" s="9" t="s">
        <v>45</v>
      </c>
    </row>
    <row r="12" spans="1:11" ht="25.5" x14ac:dyDescent="0.25">
      <c r="A12" s="27" t="s">
        <v>65</v>
      </c>
      <c r="B12" s="9" t="s">
        <v>41</v>
      </c>
      <c r="C12" s="9" t="s">
        <v>5</v>
      </c>
      <c r="D12" s="9" t="s">
        <v>66</v>
      </c>
      <c r="E12" s="3" t="s">
        <v>43</v>
      </c>
      <c r="F12" s="10"/>
      <c r="G12" s="10"/>
      <c r="H12" s="11"/>
      <c r="I12" s="12" t="s">
        <v>44</v>
      </c>
      <c r="J12" s="3"/>
      <c r="K12" s="9" t="s">
        <v>45</v>
      </c>
    </row>
    <row r="13" spans="1:11" ht="25.5" x14ac:dyDescent="0.25">
      <c r="A13" s="9" t="s">
        <v>67</v>
      </c>
      <c r="B13" s="9" t="s">
        <v>41</v>
      </c>
      <c r="C13" s="9" t="s">
        <v>5</v>
      </c>
      <c r="D13" s="9" t="s">
        <v>64</v>
      </c>
      <c r="E13" s="3" t="s">
        <v>68</v>
      </c>
      <c r="F13" s="10"/>
      <c r="G13" s="10"/>
      <c r="H13" s="11"/>
      <c r="I13" s="12" t="s">
        <v>44</v>
      </c>
      <c r="J13" s="3"/>
      <c r="K13" s="9" t="s">
        <v>45</v>
      </c>
    </row>
    <row r="14" spans="1:11" x14ac:dyDescent="0.25">
      <c r="A14" s="9" t="s">
        <v>69</v>
      </c>
      <c r="B14" s="9" t="s">
        <v>41</v>
      </c>
      <c r="C14" s="9" t="s">
        <v>5</v>
      </c>
      <c r="D14" s="9" t="s">
        <v>70</v>
      </c>
      <c r="E14" s="3" t="s">
        <v>51</v>
      </c>
      <c r="F14" s="10"/>
      <c r="G14" s="10"/>
      <c r="H14" s="11"/>
      <c r="I14" s="12" t="s">
        <v>44</v>
      </c>
      <c r="J14" s="3" t="s">
        <v>52</v>
      </c>
      <c r="K14" s="9" t="s">
        <v>45</v>
      </c>
    </row>
    <row r="15" spans="1:11" ht="25.5" x14ac:dyDescent="0.25">
      <c r="A15" s="9" t="s">
        <v>71</v>
      </c>
      <c r="B15" s="9" t="s">
        <v>41</v>
      </c>
      <c r="C15" s="9" t="s">
        <v>5</v>
      </c>
      <c r="D15" s="9" t="s">
        <v>42</v>
      </c>
      <c r="E15" s="3" t="s">
        <v>68</v>
      </c>
      <c r="F15" s="10"/>
      <c r="G15" s="10"/>
      <c r="H15" s="11"/>
      <c r="I15" s="12" t="s">
        <v>44</v>
      </c>
      <c r="J15" s="3"/>
      <c r="K15" s="9" t="s">
        <v>45</v>
      </c>
    </row>
    <row r="16" spans="1:11" ht="38.25" x14ac:dyDescent="0.25">
      <c r="A16" s="9" t="s">
        <v>72</v>
      </c>
      <c r="B16" s="9" t="s">
        <v>73</v>
      </c>
      <c r="C16" s="9" t="s">
        <v>14</v>
      </c>
      <c r="D16" s="9" t="s">
        <v>74</v>
      </c>
      <c r="E16" s="3" t="s">
        <v>51</v>
      </c>
      <c r="F16" s="10"/>
      <c r="G16" s="10"/>
      <c r="H16" s="11"/>
      <c r="I16" s="12" t="s">
        <v>44</v>
      </c>
      <c r="J16" s="3" t="s">
        <v>75</v>
      </c>
      <c r="K16" s="13" t="s">
        <v>76</v>
      </c>
    </row>
    <row r="17" spans="1:11" ht="25.5" x14ac:dyDescent="0.25">
      <c r="A17" s="9" t="s">
        <v>77</v>
      </c>
      <c r="B17" s="9" t="s">
        <v>78</v>
      </c>
      <c r="C17" s="9" t="s">
        <v>8</v>
      </c>
      <c r="D17" s="9" t="s">
        <v>79</v>
      </c>
      <c r="E17" s="3" t="s">
        <v>80</v>
      </c>
      <c r="F17" s="10"/>
      <c r="G17" s="10"/>
      <c r="H17" s="11"/>
      <c r="I17" s="12" t="s">
        <v>44</v>
      </c>
      <c r="J17" s="3"/>
      <c r="K17" s="9" t="s">
        <v>45</v>
      </c>
    </row>
    <row r="18" spans="1:11" x14ac:dyDescent="0.25">
      <c r="A18" s="9" t="s">
        <v>81</v>
      </c>
      <c r="B18" s="9" t="s">
        <v>78</v>
      </c>
      <c r="C18" s="9" t="s">
        <v>8</v>
      </c>
      <c r="D18" s="9" t="s">
        <v>79</v>
      </c>
      <c r="E18" s="3" t="s">
        <v>82</v>
      </c>
      <c r="F18" s="10"/>
      <c r="G18" s="10"/>
      <c r="H18" s="11"/>
      <c r="I18" s="12" t="s">
        <v>44</v>
      </c>
      <c r="J18" s="3"/>
      <c r="K18" s="9" t="s">
        <v>45</v>
      </c>
    </row>
    <row r="19" spans="1:11" x14ac:dyDescent="0.25">
      <c r="A19" s="9" t="s">
        <v>83</v>
      </c>
      <c r="B19" s="9" t="s">
        <v>84</v>
      </c>
      <c r="C19" s="9" t="s">
        <v>5</v>
      </c>
      <c r="D19" s="9"/>
      <c r="E19" s="3" t="s">
        <v>85</v>
      </c>
      <c r="F19" s="10"/>
      <c r="G19" s="10"/>
      <c r="H19" s="11"/>
      <c r="I19" s="12" t="s">
        <v>44</v>
      </c>
      <c r="J19" s="3"/>
      <c r="K19" s="9" t="s">
        <v>45</v>
      </c>
    </row>
    <row r="20" spans="1:11" ht="25.5" x14ac:dyDescent="0.25">
      <c r="A20" s="9" t="s">
        <v>86</v>
      </c>
      <c r="B20" s="9"/>
      <c r="C20" s="9" t="s">
        <v>17</v>
      </c>
      <c r="D20" s="9" t="s">
        <v>87</v>
      </c>
      <c r="E20" s="3" t="s">
        <v>88</v>
      </c>
      <c r="F20" s="10"/>
      <c r="G20" s="10"/>
      <c r="H20" s="11"/>
      <c r="I20" s="12" t="s">
        <v>44</v>
      </c>
      <c r="J20" s="3" t="s">
        <v>89</v>
      </c>
      <c r="K20" s="14" t="s">
        <v>90</v>
      </c>
    </row>
    <row r="21" spans="1:11" ht="25.5" x14ac:dyDescent="0.25">
      <c r="A21" s="9" t="s">
        <v>91</v>
      </c>
      <c r="B21" s="9"/>
      <c r="C21" s="9" t="s">
        <v>17</v>
      </c>
      <c r="D21" s="9" t="s">
        <v>92</v>
      </c>
      <c r="E21" s="3" t="s">
        <v>88</v>
      </c>
      <c r="F21" s="10"/>
      <c r="G21" s="10"/>
      <c r="H21" s="11"/>
      <c r="I21" s="12" t="s">
        <v>44</v>
      </c>
      <c r="J21" s="3" t="s">
        <v>93</v>
      </c>
      <c r="K21" s="14" t="s">
        <v>90</v>
      </c>
    </row>
    <row r="22" spans="1:11" x14ac:dyDescent="0.25">
      <c r="A22" s="9" t="s">
        <v>94</v>
      </c>
      <c r="B22" s="9"/>
      <c r="C22" s="9" t="s">
        <v>17</v>
      </c>
      <c r="D22" s="9" t="s">
        <v>95</v>
      </c>
      <c r="E22" s="3" t="s">
        <v>88</v>
      </c>
      <c r="F22" s="10"/>
      <c r="G22" s="10"/>
      <c r="H22" s="11"/>
      <c r="I22" s="12" t="s">
        <v>44</v>
      </c>
      <c r="J22" s="3"/>
      <c r="K22" s="9" t="s">
        <v>45</v>
      </c>
    </row>
    <row r="23" spans="1:11" x14ac:dyDescent="0.25">
      <c r="A23" s="9" t="s">
        <v>96</v>
      </c>
      <c r="B23" s="9"/>
      <c r="C23" s="9" t="s">
        <v>17</v>
      </c>
      <c r="D23" s="9" t="s">
        <v>95</v>
      </c>
      <c r="E23" s="3" t="s">
        <v>88</v>
      </c>
      <c r="F23" s="10"/>
      <c r="G23" s="10"/>
      <c r="H23" s="11"/>
      <c r="I23" s="12" t="s">
        <v>44</v>
      </c>
      <c r="J23" s="3"/>
      <c r="K23" s="9" t="s">
        <v>45</v>
      </c>
    </row>
    <row r="24" spans="1:11" x14ac:dyDescent="0.25">
      <c r="A24" s="9" t="s">
        <v>97</v>
      </c>
      <c r="B24" s="9" t="s">
        <v>98</v>
      </c>
      <c r="C24" s="9" t="s">
        <v>8</v>
      </c>
      <c r="D24" s="9" t="s">
        <v>99</v>
      </c>
      <c r="E24" s="3" t="s">
        <v>100</v>
      </c>
      <c r="F24" s="10"/>
      <c r="G24" s="10"/>
      <c r="H24" s="11"/>
      <c r="I24" s="12" t="s">
        <v>44</v>
      </c>
      <c r="J24" s="3"/>
      <c r="K24" s="9" t="s">
        <v>45</v>
      </c>
    </row>
    <row r="25" spans="1:11" x14ac:dyDescent="0.25">
      <c r="A25" s="9" t="s">
        <v>101</v>
      </c>
      <c r="B25" s="9" t="s">
        <v>98</v>
      </c>
      <c r="C25" s="9" t="s">
        <v>8</v>
      </c>
      <c r="D25" s="9" t="s">
        <v>99</v>
      </c>
      <c r="E25" s="3" t="s">
        <v>100</v>
      </c>
      <c r="F25" s="10"/>
      <c r="G25" s="10"/>
      <c r="H25" s="11"/>
      <c r="I25" s="12" t="s">
        <v>44</v>
      </c>
      <c r="J25" s="3"/>
      <c r="K25" s="9" t="s">
        <v>45</v>
      </c>
    </row>
    <row r="26" spans="1:11" x14ac:dyDescent="0.25">
      <c r="A26" s="27" t="s">
        <v>102</v>
      </c>
      <c r="B26" s="9" t="s">
        <v>98</v>
      </c>
      <c r="C26" s="9" t="s">
        <v>8</v>
      </c>
      <c r="D26" s="9" t="s">
        <v>79</v>
      </c>
      <c r="E26" s="3" t="s">
        <v>51</v>
      </c>
      <c r="F26" s="10"/>
      <c r="G26" s="10"/>
      <c r="H26" s="11"/>
      <c r="I26" s="12" t="s">
        <v>44</v>
      </c>
      <c r="J26" s="3" t="s">
        <v>52</v>
      </c>
      <c r="K26" s="9" t="s">
        <v>45</v>
      </c>
    </row>
    <row r="27" spans="1:11" x14ac:dyDescent="0.25">
      <c r="A27" s="9" t="s">
        <v>103</v>
      </c>
      <c r="B27" s="9" t="s">
        <v>98</v>
      </c>
      <c r="C27" s="9" t="s">
        <v>8</v>
      </c>
      <c r="D27" s="9" t="s">
        <v>79</v>
      </c>
      <c r="E27" s="3" t="s">
        <v>82</v>
      </c>
      <c r="F27" s="10"/>
      <c r="G27" s="10"/>
      <c r="H27" s="11"/>
      <c r="I27" s="12" t="s">
        <v>44</v>
      </c>
      <c r="J27" s="3"/>
      <c r="K27" s="9" t="s">
        <v>45</v>
      </c>
    </row>
    <row r="28" spans="1:11" x14ac:dyDescent="0.25">
      <c r="A28" s="9" t="s">
        <v>104</v>
      </c>
      <c r="B28" s="9" t="s">
        <v>98</v>
      </c>
      <c r="C28" s="9" t="s">
        <v>8</v>
      </c>
      <c r="D28" s="9" t="s">
        <v>79</v>
      </c>
      <c r="E28" s="3" t="s">
        <v>82</v>
      </c>
      <c r="F28" s="10"/>
      <c r="G28" s="10"/>
      <c r="H28" s="11"/>
      <c r="I28" s="12" t="s">
        <v>44</v>
      </c>
      <c r="J28" s="3"/>
      <c r="K28" s="9" t="s">
        <v>45</v>
      </c>
    </row>
    <row r="29" spans="1:11" x14ac:dyDescent="0.25">
      <c r="A29" s="27" t="s">
        <v>278</v>
      </c>
      <c r="B29" s="9" t="s">
        <v>98</v>
      </c>
      <c r="C29" s="9" t="s">
        <v>8</v>
      </c>
      <c r="D29" s="9" t="s">
        <v>79</v>
      </c>
      <c r="E29" s="3" t="s">
        <v>82</v>
      </c>
      <c r="F29" s="10"/>
      <c r="G29" s="10"/>
      <c r="H29" s="11"/>
      <c r="I29" s="12" t="s">
        <v>44</v>
      </c>
      <c r="J29" s="3"/>
      <c r="K29" s="9" t="s">
        <v>45</v>
      </c>
    </row>
    <row r="30" spans="1:11" x14ac:dyDescent="0.25">
      <c r="A30" s="9" t="s">
        <v>105</v>
      </c>
      <c r="B30" s="9" t="s">
        <v>98</v>
      </c>
      <c r="C30" s="9" t="s">
        <v>8</v>
      </c>
      <c r="D30" s="9" t="s">
        <v>79</v>
      </c>
      <c r="E30" s="3" t="s">
        <v>82</v>
      </c>
      <c r="F30" s="10"/>
      <c r="G30" s="10"/>
      <c r="H30" s="11"/>
      <c r="I30" s="12" t="s">
        <v>44</v>
      </c>
      <c r="J30" s="3"/>
      <c r="K30" s="9" t="s">
        <v>45</v>
      </c>
    </row>
    <row r="31" spans="1:11" x14ac:dyDescent="0.25">
      <c r="A31" s="9" t="s">
        <v>106</v>
      </c>
      <c r="B31" s="9" t="s">
        <v>107</v>
      </c>
      <c r="C31" s="9" t="s">
        <v>5</v>
      </c>
      <c r="D31" s="9" t="s">
        <v>66</v>
      </c>
      <c r="E31" s="3" t="s">
        <v>108</v>
      </c>
      <c r="F31" s="10"/>
      <c r="G31" s="10"/>
      <c r="H31" s="11"/>
      <c r="I31" s="12" t="s">
        <v>44</v>
      </c>
      <c r="J31" s="3"/>
      <c r="K31" s="9" t="s">
        <v>45</v>
      </c>
    </row>
    <row r="32" spans="1:11" x14ac:dyDescent="0.25">
      <c r="A32" s="9" t="s">
        <v>109</v>
      </c>
      <c r="B32" s="9" t="s">
        <v>107</v>
      </c>
      <c r="C32" s="9" t="s">
        <v>5</v>
      </c>
      <c r="D32" s="9" t="s">
        <v>66</v>
      </c>
      <c r="E32" s="3" t="s">
        <v>108</v>
      </c>
      <c r="F32" s="10"/>
      <c r="G32" s="10"/>
      <c r="H32" s="11"/>
      <c r="I32" s="12" t="s">
        <v>44</v>
      </c>
      <c r="J32" s="3"/>
      <c r="K32" s="9" t="s">
        <v>45</v>
      </c>
    </row>
    <row r="33" spans="1:11" x14ac:dyDescent="0.25">
      <c r="A33" s="9" t="s">
        <v>110</v>
      </c>
      <c r="B33" s="9" t="s">
        <v>98</v>
      </c>
      <c r="C33" s="9" t="s">
        <v>23</v>
      </c>
      <c r="D33" s="9" t="s">
        <v>111</v>
      </c>
      <c r="E33" s="3" t="s">
        <v>23</v>
      </c>
      <c r="F33" s="10"/>
      <c r="G33" s="10"/>
      <c r="H33" s="11"/>
      <c r="I33" s="12" t="s">
        <v>44</v>
      </c>
      <c r="J33" s="3"/>
      <c r="K33" s="9" t="s">
        <v>45</v>
      </c>
    </row>
    <row r="34" spans="1:11" x14ac:dyDescent="0.25">
      <c r="A34" s="9" t="s">
        <v>112</v>
      </c>
      <c r="B34" s="9" t="s">
        <v>78</v>
      </c>
      <c r="C34" s="9" t="s">
        <v>23</v>
      </c>
      <c r="D34" s="9" t="s">
        <v>111</v>
      </c>
      <c r="E34" s="3" t="s">
        <v>23</v>
      </c>
      <c r="F34" s="10"/>
      <c r="G34" s="10"/>
      <c r="H34" s="11"/>
      <c r="I34" s="12" t="s">
        <v>44</v>
      </c>
      <c r="J34" s="3"/>
      <c r="K34" s="9" t="s">
        <v>45</v>
      </c>
    </row>
    <row r="35" spans="1:11" x14ac:dyDescent="0.25">
      <c r="A35" s="9" t="s">
        <v>113</v>
      </c>
      <c r="B35" s="9"/>
      <c r="C35" s="9" t="s">
        <v>23</v>
      </c>
      <c r="D35" s="9" t="s">
        <v>114</v>
      </c>
      <c r="E35" s="3" t="s">
        <v>23</v>
      </c>
      <c r="F35" s="10"/>
      <c r="G35" s="10"/>
      <c r="H35" s="11"/>
      <c r="I35" s="12" t="s">
        <v>44</v>
      </c>
      <c r="J35" s="3"/>
      <c r="K35" s="9" t="s">
        <v>45</v>
      </c>
    </row>
    <row r="36" spans="1:11" x14ac:dyDescent="0.25">
      <c r="A36" s="9" t="s">
        <v>115</v>
      </c>
      <c r="B36" s="9"/>
      <c r="C36" s="9" t="s">
        <v>11</v>
      </c>
      <c r="D36" s="9" t="s">
        <v>116</v>
      </c>
      <c r="E36" s="3" t="s">
        <v>117</v>
      </c>
      <c r="F36" s="10"/>
      <c r="G36" s="10"/>
      <c r="H36" s="11"/>
      <c r="I36" s="12" t="s">
        <v>44</v>
      </c>
      <c r="J36" s="3"/>
      <c r="K36" s="9" t="s">
        <v>45</v>
      </c>
    </row>
    <row r="37" spans="1:11" x14ac:dyDescent="0.25">
      <c r="A37" s="9" t="s">
        <v>118</v>
      </c>
      <c r="B37" s="9"/>
      <c r="C37" s="9" t="s">
        <v>11</v>
      </c>
      <c r="D37" s="9" t="s">
        <v>116</v>
      </c>
      <c r="E37" s="3" t="s">
        <v>117</v>
      </c>
      <c r="F37" s="10"/>
      <c r="G37" s="10"/>
      <c r="H37" s="11"/>
      <c r="I37" s="12" t="s">
        <v>44</v>
      </c>
      <c r="J37" s="3"/>
      <c r="K37" s="9" t="s">
        <v>45</v>
      </c>
    </row>
    <row r="38" spans="1:11" x14ac:dyDescent="0.25">
      <c r="A38" s="9" t="s">
        <v>119</v>
      </c>
      <c r="B38" s="9"/>
      <c r="C38" s="9" t="s">
        <v>11</v>
      </c>
      <c r="D38" s="9" t="s">
        <v>116</v>
      </c>
      <c r="E38" s="3" t="s">
        <v>117</v>
      </c>
      <c r="F38" s="10"/>
      <c r="G38" s="10"/>
      <c r="H38" s="11"/>
      <c r="I38" s="12" t="s">
        <v>44</v>
      </c>
      <c r="J38" s="3"/>
      <c r="K38" s="9" t="s">
        <v>45</v>
      </c>
    </row>
    <row r="39" spans="1:11" ht="25.5" x14ac:dyDescent="0.25">
      <c r="A39" s="9" t="s">
        <v>120</v>
      </c>
      <c r="B39" s="9"/>
      <c r="C39" s="9" t="s">
        <v>11</v>
      </c>
      <c r="D39" s="9" t="s">
        <v>120</v>
      </c>
      <c r="E39" s="3" t="s">
        <v>117</v>
      </c>
      <c r="F39" s="10"/>
      <c r="G39" s="10"/>
      <c r="H39" s="11"/>
      <c r="I39" s="12" t="s">
        <v>44</v>
      </c>
      <c r="J39" s="3" t="s">
        <v>121</v>
      </c>
      <c r="K39" s="14" t="s">
        <v>90</v>
      </c>
    </row>
    <row r="40" spans="1:11" ht="25.5" x14ac:dyDescent="0.25">
      <c r="A40" s="9" t="s">
        <v>122</v>
      </c>
      <c r="B40" s="9"/>
      <c r="C40" s="9" t="s">
        <v>11</v>
      </c>
      <c r="D40" s="9" t="s">
        <v>123</v>
      </c>
      <c r="E40" s="3" t="s">
        <v>117</v>
      </c>
      <c r="F40" s="10"/>
      <c r="G40" s="10"/>
      <c r="H40" s="11"/>
      <c r="I40" s="12" t="s">
        <v>44</v>
      </c>
      <c r="J40" s="3" t="s">
        <v>121</v>
      </c>
      <c r="K40" s="14" t="s">
        <v>90</v>
      </c>
    </row>
    <row r="41" spans="1:11" x14ac:dyDescent="0.25">
      <c r="A41" s="9" t="s">
        <v>124</v>
      </c>
      <c r="B41" s="9"/>
      <c r="C41" s="9" t="s">
        <v>11</v>
      </c>
      <c r="D41" s="9" t="s">
        <v>124</v>
      </c>
      <c r="E41" s="3" t="s">
        <v>117</v>
      </c>
      <c r="F41" s="10"/>
      <c r="G41" s="10"/>
      <c r="H41" s="11"/>
      <c r="I41" s="12" t="s">
        <v>44</v>
      </c>
      <c r="J41" s="3" t="s">
        <v>125</v>
      </c>
      <c r="K41" s="14" t="s">
        <v>90</v>
      </c>
    </row>
    <row r="42" spans="1:11" x14ac:dyDescent="0.25">
      <c r="A42" s="9" t="s">
        <v>126</v>
      </c>
      <c r="B42" s="9"/>
      <c r="C42" s="9" t="s">
        <v>11</v>
      </c>
      <c r="D42" s="9" t="s">
        <v>126</v>
      </c>
      <c r="E42" s="3" t="s">
        <v>117</v>
      </c>
      <c r="F42" s="10"/>
      <c r="G42" s="10"/>
      <c r="H42" s="11"/>
      <c r="I42" s="12" t="s">
        <v>44</v>
      </c>
      <c r="J42" s="3"/>
      <c r="K42" s="9" t="s">
        <v>45</v>
      </c>
    </row>
    <row r="43" spans="1:11" ht="25.5" x14ac:dyDescent="0.25">
      <c r="A43" s="9" t="s">
        <v>127</v>
      </c>
      <c r="B43" s="9"/>
      <c r="C43" s="9" t="s">
        <v>11</v>
      </c>
      <c r="D43" s="9" t="s">
        <v>127</v>
      </c>
      <c r="E43" s="3" t="s">
        <v>117</v>
      </c>
      <c r="F43" s="10"/>
      <c r="G43" s="10"/>
      <c r="H43" s="11"/>
      <c r="I43" s="12" t="s">
        <v>44</v>
      </c>
      <c r="J43" s="3" t="s">
        <v>128</v>
      </c>
      <c r="K43" s="14" t="s">
        <v>90</v>
      </c>
    </row>
    <row r="44" spans="1:11" x14ac:dyDescent="0.25">
      <c r="A44" s="9" t="s">
        <v>129</v>
      </c>
      <c r="B44" s="9"/>
      <c r="C44" s="9" t="s">
        <v>23</v>
      </c>
      <c r="D44" s="9" t="s">
        <v>130</v>
      </c>
      <c r="E44" s="3" t="s">
        <v>23</v>
      </c>
      <c r="F44" s="10"/>
      <c r="G44" s="10"/>
      <c r="H44" s="11"/>
      <c r="I44" s="12" t="s">
        <v>44</v>
      </c>
      <c r="J44" s="3"/>
      <c r="K44" s="9" t="s">
        <v>45</v>
      </c>
    </row>
    <row r="45" spans="1:11" ht="51" x14ac:dyDescent="0.25">
      <c r="A45" s="15" t="s">
        <v>131</v>
      </c>
      <c r="B45" s="9" t="s">
        <v>41</v>
      </c>
      <c r="C45" s="9" t="s">
        <v>5</v>
      </c>
      <c r="D45" s="9" t="s">
        <v>132</v>
      </c>
      <c r="E45" s="3" t="s">
        <v>27</v>
      </c>
      <c r="F45" s="10"/>
      <c r="G45" s="10"/>
      <c r="H45" s="11"/>
      <c r="I45" s="12" t="s">
        <v>44</v>
      </c>
      <c r="J45" s="3" t="s">
        <v>133</v>
      </c>
      <c r="K45" s="9" t="s">
        <v>45</v>
      </c>
    </row>
    <row r="46" spans="1:11" ht="38.25" x14ac:dyDescent="0.25">
      <c r="A46" s="15" t="s">
        <v>134</v>
      </c>
      <c r="B46" s="9" t="s">
        <v>41</v>
      </c>
      <c r="C46" s="9" t="s">
        <v>5</v>
      </c>
      <c r="D46" s="9" t="s">
        <v>66</v>
      </c>
      <c r="E46" s="3" t="s">
        <v>27</v>
      </c>
      <c r="F46" s="10"/>
      <c r="G46" s="10"/>
      <c r="H46" s="11"/>
      <c r="I46" s="12" t="s">
        <v>44</v>
      </c>
      <c r="J46" s="3" t="s">
        <v>135</v>
      </c>
      <c r="K46" s="9" t="s">
        <v>45</v>
      </c>
    </row>
    <row r="47" spans="1:11" x14ac:dyDescent="0.25">
      <c r="A47" s="15" t="s">
        <v>136</v>
      </c>
      <c r="B47" s="9" t="s">
        <v>41</v>
      </c>
      <c r="C47" s="9" t="s">
        <v>5</v>
      </c>
      <c r="D47" s="9" t="s">
        <v>137</v>
      </c>
      <c r="E47" s="3" t="s">
        <v>27</v>
      </c>
      <c r="F47" s="10"/>
      <c r="G47" s="10"/>
      <c r="H47" s="11"/>
      <c r="I47" s="12" t="s">
        <v>44</v>
      </c>
      <c r="J47" s="3" t="s">
        <v>138</v>
      </c>
      <c r="K47" s="9" t="s">
        <v>45</v>
      </c>
    </row>
    <row r="48" spans="1:11" x14ac:dyDescent="0.25">
      <c r="A48" s="15" t="s">
        <v>139</v>
      </c>
      <c r="B48" s="9" t="s">
        <v>41</v>
      </c>
      <c r="C48" s="9" t="s">
        <v>5</v>
      </c>
      <c r="D48" s="9" t="s">
        <v>137</v>
      </c>
      <c r="E48" s="3" t="s">
        <v>27</v>
      </c>
      <c r="F48" s="10"/>
      <c r="G48" s="10"/>
      <c r="H48" s="11"/>
      <c r="I48" s="12" t="s">
        <v>44</v>
      </c>
      <c r="J48" s="3" t="s">
        <v>140</v>
      </c>
      <c r="K48" s="9" t="s">
        <v>45</v>
      </c>
    </row>
    <row r="49" spans="1:11" x14ac:dyDescent="0.25">
      <c r="A49" s="15" t="s">
        <v>141</v>
      </c>
      <c r="B49" s="9" t="s">
        <v>41</v>
      </c>
      <c r="C49" s="9" t="s">
        <v>5</v>
      </c>
      <c r="D49" s="9" t="s">
        <v>137</v>
      </c>
      <c r="E49" s="3" t="s">
        <v>27</v>
      </c>
      <c r="F49" s="10"/>
      <c r="G49" s="10"/>
      <c r="H49" s="11"/>
      <c r="I49" s="12" t="s">
        <v>44</v>
      </c>
      <c r="J49" s="3" t="s">
        <v>142</v>
      </c>
      <c r="K49" s="9" t="s">
        <v>45</v>
      </c>
    </row>
    <row r="50" spans="1:11" ht="38.25" x14ac:dyDescent="0.25">
      <c r="A50" s="15" t="s">
        <v>143</v>
      </c>
      <c r="B50" s="9" t="s">
        <v>41</v>
      </c>
      <c r="C50" s="9" t="s">
        <v>5</v>
      </c>
      <c r="D50" s="9" t="s">
        <v>64</v>
      </c>
      <c r="E50" s="3" t="s">
        <v>27</v>
      </c>
      <c r="F50" s="10"/>
      <c r="G50" s="10"/>
      <c r="H50" s="11"/>
      <c r="I50" s="16" t="s">
        <v>144</v>
      </c>
      <c r="J50" s="3" t="s">
        <v>145</v>
      </c>
      <c r="K50" s="9" t="s">
        <v>45</v>
      </c>
    </row>
    <row r="51" spans="1:11" ht="25.5" x14ac:dyDescent="0.25">
      <c r="A51" s="15" t="s">
        <v>146</v>
      </c>
      <c r="B51" s="9" t="s">
        <v>47</v>
      </c>
      <c r="C51" s="9" t="s">
        <v>20</v>
      </c>
      <c r="D51" s="9" t="s">
        <v>21</v>
      </c>
      <c r="E51" s="3" t="s">
        <v>27</v>
      </c>
      <c r="F51" s="10"/>
      <c r="G51" s="10"/>
      <c r="H51" s="11"/>
      <c r="I51" s="12" t="s">
        <v>44</v>
      </c>
      <c r="J51" s="3" t="s">
        <v>147</v>
      </c>
      <c r="K51" s="9" t="s">
        <v>45</v>
      </c>
    </row>
    <row r="52" spans="1:11" ht="25.5" x14ac:dyDescent="0.25">
      <c r="A52" s="15" t="s">
        <v>148</v>
      </c>
      <c r="B52" s="9" t="s">
        <v>47</v>
      </c>
      <c r="C52" s="9" t="s">
        <v>20</v>
      </c>
      <c r="D52" s="9" t="s">
        <v>21</v>
      </c>
      <c r="E52" s="3" t="s">
        <v>27</v>
      </c>
      <c r="F52" s="10"/>
      <c r="G52" s="10"/>
      <c r="H52" s="11"/>
      <c r="I52" s="12" t="s">
        <v>44</v>
      </c>
      <c r="J52" s="3" t="s">
        <v>149</v>
      </c>
      <c r="K52" s="9" t="s">
        <v>45</v>
      </c>
    </row>
    <row r="53" spans="1:11" ht="25.5" x14ac:dyDescent="0.25">
      <c r="A53" s="26" t="s">
        <v>150</v>
      </c>
      <c r="B53" s="9" t="s">
        <v>47</v>
      </c>
      <c r="C53" s="9" t="s">
        <v>20</v>
      </c>
      <c r="D53" s="9" t="s">
        <v>21</v>
      </c>
      <c r="E53" s="3" t="s">
        <v>27</v>
      </c>
      <c r="F53" s="10"/>
      <c r="G53" s="10"/>
      <c r="H53" s="11"/>
      <c r="I53" s="12" t="s">
        <v>44</v>
      </c>
      <c r="J53" s="3" t="s">
        <v>151</v>
      </c>
      <c r="K53" s="9" t="s">
        <v>45</v>
      </c>
    </row>
    <row r="54" spans="1:11" ht="51" x14ac:dyDescent="0.25">
      <c r="A54" s="15" t="s">
        <v>152</v>
      </c>
      <c r="B54" s="9" t="s">
        <v>47</v>
      </c>
      <c r="C54" s="9" t="s">
        <v>23</v>
      </c>
      <c r="D54" s="9" t="s">
        <v>153</v>
      </c>
      <c r="E54" s="3" t="s">
        <v>27</v>
      </c>
      <c r="F54" s="10"/>
      <c r="G54" s="10"/>
      <c r="H54" s="11"/>
      <c r="I54" s="12" t="s">
        <v>44</v>
      </c>
      <c r="J54" s="3" t="s">
        <v>154</v>
      </c>
      <c r="K54" s="14" t="s">
        <v>90</v>
      </c>
    </row>
    <row r="55" spans="1:11" ht="25.5" x14ac:dyDescent="0.25">
      <c r="A55" s="15" t="s">
        <v>155</v>
      </c>
      <c r="B55" s="9" t="s">
        <v>47</v>
      </c>
      <c r="C55" s="9" t="s">
        <v>23</v>
      </c>
      <c r="D55" s="9" t="s">
        <v>153</v>
      </c>
      <c r="E55" s="3" t="s">
        <v>27</v>
      </c>
      <c r="F55" s="10"/>
      <c r="G55" s="10"/>
      <c r="H55" s="11"/>
      <c r="I55" s="12" t="s">
        <v>44</v>
      </c>
      <c r="J55" s="3" t="s">
        <v>156</v>
      </c>
      <c r="K55" s="14" t="s">
        <v>90</v>
      </c>
    </row>
    <row r="56" spans="1:11" ht="38.25" x14ac:dyDescent="0.25">
      <c r="A56" s="15" t="s">
        <v>157</v>
      </c>
      <c r="B56" s="9" t="s">
        <v>47</v>
      </c>
      <c r="C56" s="9" t="s">
        <v>23</v>
      </c>
      <c r="D56" s="9" t="s">
        <v>153</v>
      </c>
      <c r="E56" s="3" t="s">
        <v>27</v>
      </c>
      <c r="F56" s="10"/>
      <c r="G56" s="10"/>
      <c r="H56" s="11"/>
      <c r="I56" s="12" t="s">
        <v>44</v>
      </c>
      <c r="J56" s="3" t="s">
        <v>158</v>
      </c>
      <c r="K56" s="14" t="s">
        <v>90</v>
      </c>
    </row>
    <row r="57" spans="1:11" ht="51" x14ac:dyDescent="0.25">
      <c r="A57" s="15" t="s">
        <v>159</v>
      </c>
      <c r="B57" s="9" t="s">
        <v>98</v>
      </c>
      <c r="C57" s="9" t="s">
        <v>8</v>
      </c>
      <c r="D57" s="9" t="s">
        <v>79</v>
      </c>
      <c r="E57" s="3" t="s">
        <v>27</v>
      </c>
      <c r="F57" s="10"/>
      <c r="G57" s="10"/>
      <c r="H57" s="11"/>
      <c r="I57" s="12" t="s">
        <v>44</v>
      </c>
      <c r="J57" s="3" t="s">
        <v>160</v>
      </c>
      <c r="K57" s="9" t="s">
        <v>45</v>
      </c>
    </row>
    <row r="58" spans="1:11" ht="25.5" x14ac:dyDescent="0.25">
      <c r="A58" s="26" t="s">
        <v>161</v>
      </c>
      <c r="B58" s="9" t="s">
        <v>78</v>
      </c>
      <c r="C58" s="9" t="s">
        <v>8</v>
      </c>
      <c r="D58" s="9" t="s">
        <v>79</v>
      </c>
      <c r="E58" s="3" t="s">
        <v>27</v>
      </c>
      <c r="F58" s="10"/>
      <c r="G58" s="10"/>
      <c r="H58" s="11"/>
      <c r="I58" s="16" t="s">
        <v>144</v>
      </c>
      <c r="J58" s="3" t="s">
        <v>162</v>
      </c>
      <c r="K58" s="9" t="s">
        <v>45</v>
      </c>
    </row>
    <row r="59" spans="1:11" ht="25.5" x14ac:dyDescent="0.25">
      <c r="A59" s="15" t="s">
        <v>163</v>
      </c>
      <c r="B59" s="9" t="s">
        <v>78</v>
      </c>
      <c r="C59" s="9" t="s">
        <v>8</v>
      </c>
      <c r="D59" s="9" t="s">
        <v>79</v>
      </c>
      <c r="E59" s="3" t="s">
        <v>27</v>
      </c>
      <c r="F59" s="10"/>
      <c r="G59" s="10"/>
      <c r="H59" s="11"/>
      <c r="I59" s="16" t="s">
        <v>144</v>
      </c>
      <c r="J59" s="3" t="s">
        <v>164</v>
      </c>
      <c r="K59" s="9" t="s">
        <v>45</v>
      </c>
    </row>
    <row r="60" spans="1:11" ht="51" x14ac:dyDescent="0.25">
      <c r="A60" s="15" t="s">
        <v>165</v>
      </c>
      <c r="B60" s="9" t="s">
        <v>166</v>
      </c>
      <c r="C60" s="9" t="s">
        <v>14</v>
      </c>
      <c r="D60" s="9" t="s">
        <v>167</v>
      </c>
      <c r="E60" s="3" t="s">
        <v>27</v>
      </c>
      <c r="F60" s="10"/>
      <c r="G60" s="10"/>
      <c r="H60" s="11"/>
      <c r="I60" s="12" t="s">
        <v>44</v>
      </c>
      <c r="J60" s="3" t="s">
        <v>168</v>
      </c>
      <c r="K60" s="14" t="s">
        <v>90</v>
      </c>
    </row>
    <row r="61" spans="1:11" ht="38.25" x14ac:dyDescent="0.25">
      <c r="A61" s="15" t="s">
        <v>169</v>
      </c>
      <c r="B61" s="9" t="s">
        <v>166</v>
      </c>
      <c r="C61" s="9" t="s">
        <v>14</v>
      </c>
      <c r="D61" s="9" t="s">
        <v>167</v>
      </c>
      <c r="E61" s="3" t="s">
        <v>27</v>
      </c>
      <c r="F61" s="10"/>
      <c r="G61" s="10"/>
      <c r="H61" s="11"/>
      <c r="I61" s="12" t="s">
        <v>44</v>
      </c>
      <c r="J61" s="3" t="s">
        <v>170</v>
      </c>
      <c r="K61" s="9" t="s">
        <v>45</v>
      </c>
    </row>
    <row r="62" spans="1:11" ht="25.5" x14ac:dyDescent="0.25">
      <c r="A62" s="15" t="s">
        <v>171</v>
      </c>
      <c r="B62" s="9" t="s">
        <v>166</v>
      </c>
      <c r="C62" s="9" t="s">
        <v>14</v>
      </c>
      <c r="D62" s="9" t="s">
        <v>167</v>
      </c>
      <c r="E62" s="3" t="s">
        <v>27</v>
      </c>
      <c r="F62" s="10"/>
      <c r="G62" s="10"/>
      <c r="H62" s="11"/>
      <c r="I62" s="12" t="s">
        <v>44</v>
      </c>
      <c r="J62" s="3" t="s">
        <v>172</v>
      </c>
      <c r="K62" s="9" t="s">
        <v>45</v>
      </c>
    </row>
    <row r="63" spans="1:11" ht="25.5" x14ac:dyDescent="0.25">
      <c r="A63" s="15" t="s">
        <v>173</v>
      </c>
      <c r="B63" s="9" t="s">
        <v>166</v>
      </c>
      <c r="C63" s="9" t="s">
        <v>14</v>
      </c>
      <c r="D63" s="9" t="s">
        <v>167</v>
      </c>
      <c r="E63" s="3" t="s">
        <v>27</v>
      </c>
      <c r="F63" s="10"/>
      <c r="G63" s="10"/>
      <c r="H63" s="11"/>
      <c r="I63" s="12" t="s">
        <v>44</v>
      </c>
      <c r="J63" s="3" t="s">
        <v>174</v>
      </c>
      <c r="K63" s="9" t="s">
        <v>45</v>
      </c>
    </row>
    <row r="64" spans="1:11" ht="63.75" x14ac:dyDescent="0.25">
      <c r="A64" s="15" t="s">
        <v>175</v>
      </c>
      <c r="B64" s="9" t="s">
        <v>166</v>
      </c>
      <c r="C64" s="9" t="s">
        <v>14</v>
      </c>
      <c r="D64" s="9" t="s">
        <v>176</v>
      </c>
      <c r="E64" s="3" t="s">
        <v>27</v>
      </c>
      <c r="F64" s="10"/>
      <c r="G64" s="10"/>
      <c r="H64" s="11"/>
      <c r="I64" s="12" t="s">
        <v>44</v>
      </c>
      <c r="J64" s="3" t="s">
        <v>177</v>
      </c>
      <c r="K64" s="14" t="s">
        <v>90</v>
      </c>
    </row>
    <row r="65" spans="1:11" ht="38.25" x14ac:dyDescent="0.25">
      <c r="A65" s="15" t="s">
        <v>178</v>
      </c>
      <c r="B65" s="9" t="s">
        <v>166</v>
      </c>
      <c r="C65" s="9" t="s">
        <v>14</v>
      </c>
      <c r="D65" s="9" t="s">
        <v>176</v>
      </c>
      <c r="E65" s="3" t="s">
        <v>27</v>
      </c>
      <c r="F65" s="10"/>
      <c r="G65" s="10"/>
      <c r="H65" s="11"/>
      <c r="I65" s="12" t="s">
        <v>44</v>
      </c>
      <c r="J65" s="3" t="s">
        <v>179</v>
      </c>
      <c r="K65" s="9" t="s">
        <v>45</v>
      </c>
    </row>
    <row r="66" spans="1:11" ht="38.25" x14ac:dyDescent="0.25">
      <c r="A66" s="15" t="s">
        <v>180</v>
      </c>
      <c r="B66" s="9" t="s">
        <v>166</v>
      </c>
      <c r="C66" s="9" t="s">
        <v>14</v>
      </c>
      <c r="D66" s="9" t="s">
        <v>181</v>
      </c>
      <c r="E66" s="3" t="s">
        <v>27</v>
      </c>
      <c r="F66" s="10"/>
      <c r="G66" s="10"/>
      <c r="H66" s="11"/>
      <c r="I66" s="12" t="s">
        <v>44</v>
      </c>
      <c r="J66" s="3" t="s">
        <v>182</v>
      </c>
      <c r="K66" s="9" t="s">
        <v>45</v>
      </c>
    </row>
    <row r="67" spans="1:11" ht="25.5" x14ac:dyDescent="0.25">
      <c r="A67" s="15" t="s">
        <v>183</v>
      </c>
      <c r="B67" s="9" t="s">
        <v>166</v>
      </c>
      <c r="C67" s="9" t="s">
        <v>14</v>
      </c>
      <c r="D67" s="9" t="s">
        <v>181</v>
      </c>
      <c r="E67" s="3" t="s">
        <v>27</v>
      </c>
      <c r="F67" s="10"/>
      <c r="G67" s="10"/>
      <c r="H67" s="11"/>
      <c r="I67" s="16" t="s">
        <v>144</v>
      </c>
      <c r="J67" s="3" t="s">
        <v>184</v>
      </c>
      <c r="K67" s="9" t="s">
        <v>45</v>
      </c>
    </row>
    <row r="68" spans="1:11" ht="38.25" x14ac:dyDescent="0.25">
      <c r="A68" s="15" t="s">
        <v>185</v>
      </c>
      <c r="B68" s="9" t="s">
        <v>166</v>
      </c>
      <c r="C68" s="9" t="s">
        <v>14</v>
      </c>
      <c r="D68" s="9" t="s">
        <v>181</v>
      </c>
      <c r="E68" s="3" t="s">
        <v>27</v>
      </c>
      <c r="F68" s="10"/>
      <c r="G68" s="10"/>
      <c r="H68" s="11"/>
      <c r="I68" s="16" t="s">
        <v>144</v>
      </c>
      <c r="J68" s="3" t="s">
        <v>186</v>
      </c>
      <c r="K68" s="9" t="s">
        <v>45</v>
      </c>
    </row>
  </sheetData>
  <autoFilter ref="A1:K68" xr:uid="{00000000-0009-0000-0000-000002000000}"/>
  <dataValidations count="3">
    <dataValidation type="list" allowBlank="1" sqref="I2:I68" xr:uid="{00000000-0002-0000-0200-000000000000}">
      <formula1>"Garder,Obsolète,À vérifier,Doublon-Brouillon"</formula1>
      <formula2>0</formula2>
    </dataValidation>
    <dataValidation type="list" allowBlank="1" sqref="C2:C68" xr:uid="{00000000-0002-0000-0200-000001000000}">
      <formula1>"Tests et mesures,Soudeuses fibre optique,Raccordement optique,Équipements Actifs,Tirage et sécurité,Identification de réseau,Consommables,Autres équipements"</formula1>
      <formula2>0</formula2>
    </dataValidation>
    <dataValidation type="list" allowBlank="1" sqref="K2:K68" xr:uid="{00000000-0002-0000-0200-000002000000}">
      <formula1>"Simple,Variable,Page WP (hors catalogue)"</formula1>
      <formula2>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50"/>
  <sheetViews>
    <sheetView showGridLines="0" topLeftCell="A25" zoomScaleNormal="100" workbookViewId="0">
      <selection sqref="A1:D1"/>
    </sheetView>
  </sheetViews>
  <sheetFormatPr baseColWidth="10" defaultColWidth="8.7109375" defaultRowHeight="15" x14ac:dyDescent="0.25"/>
  <cols>
    <col min="1" max="1" width="30" customWidth="1"/>
    <col min="2" max="3" width="24" customWidth="1"/>
    <col min="4" max="4" width="44" customWidth="1"/>
  </cols>
  <sheetData>
    <row r="1" spans="1:4" ht="18" x14ac:dyDescent="0.25">
      <c r="A1" s="28" t="s">
        <v>187</v>
      </c>
      <c r="B1" s="28"/>
      <c r="C1" s="28"/>
      <c r="D1" s="28"/>
    </row>
    <row r="2" spans="1:4" ht="27.75" customHeight="1" x14ac:dyDescent="0.25">
      <c r="A2" s="31" t="s">
        <v>188</v>
      </c>
      <c r="B2" s="31"/>
      <c r="C2" s="31"/>
      <c r="D2" s="31"/>
    </row>
    <row r="4" spans="1:4" x14ac:dyDescent="0.25">
      <c r="A4" s="30" t="s">
        <v>189</v>
      </c>
      <c r="B4" s="30"/>
      <c r="C4" s="30"/>
      <c r="D4" s="30"/>
    </row>
    <row r="5" spans="1:4" ht="15.75" customHeight="1" x14ac:dyDescent="0.25">
      <c r="A5" s="17" t="s">
        <v>190</v>
      </c>
      <c r="B5" s="29" t="s">
        <v>191</v>
      </c>
      <c r="C5" s="29"/>
      <c r="D5" s="29"/>
    </row>
    <row r="6" spans="1:4" ht="15.75" customHeight="1" x14ac:dyDescent="0.25">
      <c r="A6" s="17" t="s">
        <v>192</v>
      </c>
      <c r="B6" s="29" t="s">
        <v>193</v>
      </c>
      <c r="C6" s="29"/>
      <c r="D6" s="29"/>
    </row>
    <row r="8" spans="1:4" x14ac:dyDescent="0.25">
      <c r="A8" s="1" t="s">
        <v>194</v>
      </c>
      <c r="B8" s="1" t="s">
        <v>191</v>
      </c>
      <c r="C8" s="1" t="s">
        <v>195</v>
      </c>
      <c r="D8" s="1" t="s">
        <v>196</v>
      </c>
    </row>
    <row r="9" spans="1:4" x14ac:dyDescent="0.25">
      <c r="A9" s="18" t="s">
        <v>197</v>
      </c>
      <c r="B9" s="18" t="s">
        <v>198</v>
      </c>
      <c r="C9" s="19"/>
      <c r="D9" s="19"/>
    </row>
    <row r="10" spans="1:4" x14ac:dyDescent="0.25">
      <c r="A10" s="18" t="s">
        <v>199</v>
      </c>
      <c r="B10" s="18" t="s">
        <v>200</v>
      </c>
      <c r="C10" s="19"/>
      <c r="D10" s="19"/>
    </row>
    <row r="11" spans="1:4" x14ac:dyDescent="0.25">
      <c r="A11" s="18" t="s">
        <v>201</v>
      </c>
      <c r="B11" s="18" t="s">
        <v>202</v>
      </c>
      <c r="C11" s="19"/>
      <c r="D11" s="19"/>
    </row>
    <row r="12" spans="1:4" x14ac:dyDescent="0.25">
      <c r="A12" s="18" t="s">
        <v>203</v>
      </c>
      <c r="B12" s="18" t="s">
        <v>204</v>
      </c>
      <c r="C12" s="19"/>
      <c r="D12" s="19"/>
    </row>
    <row r="13" spans="1:4" x14ac:dyDescent="0.25">
      <c r="A13" s="18" t="s">
        <v>205</v>
      </c>
      <c r="B13" s="18" t="s">
        <v>206</v>
      </c>
      <c r="C13" s="19"/>
      <c r="D13" s="19"/>
    </row>
    <row r="15" spans="1:4" x14ac:dyDescent="0.25">
      <c r="A15" s="30" t="s">
        <v>207</v>
      </c>
      <c r="B15" s="30"/>
      <c r="C15" s="30"/>
      <c r="D15" s="30"/>
    </row>
    <row r="16" spans="1:4" ht="15.75" customHeight="1" x14ac:dyDescent="0.25">
      <c r="A16" s="17" t="s">
        <v>208</v>
      </c>
      <c r="B16" s="29" t="s">
        <v>209</v>
      </c>
      <c r="C16" s="29"/>
      <c r="D16" s="29"/>
    </row>
    <row r="17" spans="1:4" ht="30" customHeight="1" x14ac:dyDescent="0.25">
      <c r="A17" s="20" t="s">
        <v>210</v>
      </c>
      <c r="B17" s="29" t="s">
        <v>211</v>
      </c>
      <c r="C17" s="29"/>
      <c r="D17" s="29"/>
    </row>
    <row r="19" spans="1:4" x14ac:dyDescent="0.25">
      <c r="A19" s="1" t="s">
        <v>194</v>
      </c>
      <c r="B19" s="1" t="s">
        <v>191</v>
      </c>
      <c r="C19" s="1" t="s">
        <v>212</v>
      </c>
      <c r="D19" s="1" t="s">
        <v>213</v>
      </c>
    </row>
    <row r="20" spans="1:4" x14ac:dyDescent="0.25">
      <c r="A20" s="18" t="s">
        <v>214</v>
      </c>
      <c r="B20" s="18" t="s">
        <v>198</v>
      </c>
      <c r="C20" s="21" t="s">
        <v>215</v>
      </c>
      <c r="D20" s="19"/>
    </row>
    <row r="21" spans="1:4" x14ac:dyDescent="0.25">
      <c r="A21" s="18" t="s">
        <v>216</v>
      </c>
      <c r="B21" s="18" t="s">
        <v>200</v>
      </c>
      <c r="C21" s="18" t="s">
        <v>217</v>
      </c>
      <c r="D21" s="19"/>
    </row>
    <row r="22" spans="1:4" x14ac:dyDescent="0.25">
      <c r="A22" s="18" t="s">
        <v>218</v>
      </c>
      <c r="B22" s="18" t="s">
        <v>202</v>
      </c>
      <c r="C22" s="18" t="s">
        <v>219</v>
      </c>
      <c r="D22" s="19"/>
    </row>
    <row r="23" spans="1:4" x14ac:dyDescent="0.25">
      <c r="A23" s="18" t="s">
        <v>220</v>
      </c>
      <c r="B23" s="18" t="s">
        <v>204</v>
      </c>
      <c r="C23" s="18" t="s">
        <v>221</v>
      </c>
      <c r="D23" s="19"/>
    </row>
    <row r="24" spans="1:4" x14ac:dyDescent="0.25">
      <c r="A24" s="18" t="s">
        <v>222</v>
      </c>
      <c r="B24" s="18" t="s">
        <v>206</v>
      </c>
      <c r="C24" s="18" t="s">
        <v>223</v>
      </c>
      <c r="D24" s="19"/>
    </row>
    <row r="26" spans="1:4" x14ac:dyDescent="0.25">
      <c r="A26" s="30" t="s">
        <v>224</v>
      </c>
      <c r="B26" s="30"/>
      <c r="C26" s="30"/>
      <c r="D26" s="30"/>
    </row>
    <row r="27" spans="1:4" ht="15.75" customHeight="1" x14ac:dyDescent="0.25">
      <c r="A27" s="17" t="s">
        <v>190</v>
      </c>
      <c r="B27" s="29" t="s">
        <v>225</v>
      </c>
      <c r="C27" s="29"/>
      <c r="D27" s="29"/>
    </row>
    <row r="28" spans="1:4" ht="15.75" customHeight="1" x14ac:dyDescent="0.25">
      <c r="A28" s="17" t="s">
        <v>192</v>
      </c>
      <c r="B28" s="29" t="s">
        <v>226</v>
      </c>
      <c r="C28" s="29"/>
      <c r="D28" s="29"/>
    </row>
    <row r="30" spans="1:4" x14ac:dyDescent="0.25">
      <c r="A30" s="30" t="s">
        <v>227</v>
      </c>
      <c r="B30" s="30"/>
      <c r="C30" s="30"/>
      <c r="D30" s="30"/>
    </row>
    <row r="31" spans="1:4" ht="15.75" customHeight="1" x14ac:dyDescent="0.25">
      <c r="A31" s="17" t="s">
        <v>190</v>
      </c>
      <c r="B31" s="29" t="s">
        <v>228</v>
      </c>
      <c r="C31" s="29"/>
      <c r="D31" s="29"/>
    </row>
    <row r="32" spans="1:4" ht="30" customHeight="1" x14ac:dyDescent="0.25">
      <c r="A32" s="17" t="s">
        <v>192</v>
      </c>
      <c r="B32" s="29" t="s">
        <v>229</v>
      </c>
      <c r="C32" s="29"/>
      <c r="D32" s="29"/>
    </row>
    <row r="34" spans="1:4" x14ac:dyDescent="0.25">
      <c r="A34" s="30" t="s">
        <v>230</v>
      </c>
      <c r="B34" s="30"/>
      <c r="C34" s="30"/>
      <c r="D34" s="30"/>
    </row>
    <row r="35" spans="1:4" ht="30" customHeight="1" x14ac:dyDescent="0.25">
      <c r="A35" s="20" t="s">
        <v>231</v>
      </c>
      <c r="B35" s="29" t="s">
        <v>232</v>
      </c>
      <c r="C35" s="29"/>
      <c r="D35" s="29"/>
    </row>
    <row r="37" spans="1:4" x14ac:dyDescent="0.25">
      <c r="A37" s="1" t="s">
        <v>233</v>
      </c>
      <c r="B37" s="1" t="s">
        <v>234</v>
      </c>
      <c r="C37" s="1" t="s">
        <v>235</v>
      </c>
      <c r="D37" s="1" t="s">
        <v>236</v>
      </c>
    </row>
    <row r="38" spans="1:4" ht="26.25" x14ac:dyDescent="0.25">
      <c r="A38" s="18" t="s">
        <v>237</v>
      </c>
      <c r="B38" s="22" t="s">
        <v>238</v>
      </c>
      <c r="C38" s="22" t="s">
        <v>239</v>
      </c>
      <c r="D38" s="19"/>
    </row>
    <row r="39" spans="1:4" ht="26.25" x14ac:dyDescent="0.25">
      <c r="A39" s="18" t="s">
        <v>228</v>
      </c>
      <c r="B39" s="22" t="s">
        <v>240</v>
      </c>
      <c r="C39" s="22" t="s">
        <v>241</v>
      </c>
      <c r="D39" s="19"/>
    </row>
    <row r="40" spans="1:4" ht="26.25" x14ac:dyDescent="0.25">
      <c r="A40" s="18" t="s">
        <v>191</v>
      </c>
      <c r="B40" s="22" t="s">
        <v>242</v>
      </c>
      <c r="C40" s="22" t="s">
        <v>243</v>
      </c>
      <c r="D40" s="19"/>
    </row>
    <row r="41" spans="1:4" ht="30" customHeight="1" x14ac:dyDescent="0.25">
      <c r="A41" s="20" t="s">
        <v>244</v>
      </c>
      <c r="B41" s="29" t="s">
        <v>245</v>
      </c>
      <c r="C41" s="29"/>
      <c r="D41" s="29"/>
    </row>
    <row r="44" spans="1:4" x14ac:dyDescent="0.25">
      <c r="A44" s="30" t="s">
        <v>246</v>
      </c>
      <c r="B44" s="30"/>
      <c r="C44" s="30"/>
      <c r="D44" s="30"/>
    </row>
    <row r="45" spans="1:4" x14ac:dyDescent="0.25">
      <c r="A45" s="1" t="s">
        <v>247</v>
      </c>
      <c r="B45" s="1" t="s">
        <v>248</v>
      </c>
      <c r="C45" s="1" t="s">
        <v>249</v>
      </c>
      <c r="D45" s="1"/>
    </row>
    <row r="46" spans="1:4" x14ac:dyDescent="0.25">
      <c r="A46" s="18" t="s">
        <v>250</v>
      </c>
      <c r="B46" s="18" t="s">
        <v>251</v>
      </c>
      <c r="C46" s="18" t="s">
        <v>252</v>
      </c>
      <c r="D46" s="23"/>
    </row>
    <row r="47" spans="1:4" x14ac:dyDescent="0.25">
      <c r="A47" s="18" t="s">
        <v>253</v>
      </c>
      <c r="B47" s="18" t="s">
        <v>251</v>
      </c>
      <c r="C47" s="18" t="s">
        <v>254</v>
      </c>
      <c r="D47" s="23"/>
    </row>
    <row r="48" spans="1:4" x14ac:dyDescent="0.25">
      <c r="A48" s="18" t="s">
        <v>255</v>
      </c>
      <c r="B48" s="18" t="s">
        <v>251</v>
      </c>
      <c r="C48" s="18" t="s">
        <v>254</v>
      </c>
      <c r="D48" s="23"/>
    </row>
    <row r="49" spans="1:4" x14ac:dyDescent="0.25">
      <c r="A49" s="18" t="s">
        <v>256</v>
      </c>
      <c r="B49" s="18" t="s">
        <v>257</v>
      </c>
      <c r="C49" s="18" t="s">
        <v>258</v>
      </c>
      <c r="D49" s="23"/>
    </row>
    <row r="50" spans="1:4" x14ac:dyDescent="0.25">
      <c r="A50" s="18" t="s">
        <v>259</v>
      </c>
      <c r="B50" s="18" t="s">
        <v>260</v>
      </c>
      <c r="C50" s="18" t="s">
        <v>258</v>
      </c>
      <c r="D50" s="23"/>
    </row>
  </sheetData>
  <mergeCells count="18">
    <mergeCell ref="A1:D1"/>
    <mergeCell ref="A2:D2"/>
    <mergeCell ref="A4:D4"/>
    <mergeCell ref="B5:D5"/>
    <mergeCell ref="B6:D6"/>
    <mergeCell ref="A15:D15"/>
    <mergeCell ref="B16:D16"/>
    <mergeCell ref="B17:D17"/>
    <mergeCell ref="A26:D26"/>
    <mergeCell ref="B27:D27"/>
    <mergeCell ref="B35:D35"/>
    <mergeCell ref="B41:D41"/>
    <mergeCell ref="A44:D44"/>
    <mergeCell ref="B28:D28"/>
    <mergeCell ref="A30:D30"/>
    <mergeCell ref="B31:D31"/>
    <mergeCell ref="B32:D32"/>
    <mergeCell ref="A34:D34"/>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0"/>
  <sheetViews>
    <sheetView showGridLines="0" zoomScaleNormal="100" workbookViewId="0">
      <selection sqref="A1:B1"/>
    </sheetView>
  </sheetViews>
  <sheetFormatPr baseColWidth="10" defaultColWidth="8.7109375" defaultRowHeight="15" x14ac:dyDescent="0.25"/>
  <cols>
    <col min="1" max="1" width="28" customWidth="1"/>
    <col min="2" max="2" width="90" customWidth="1"/>
  </cols>
  <sheetData>
    <row r="1" spans="1:2" ht="18" x14ac:dyDescent="0.25">
      <c r="A1" s="28" t="s">
        <v>261</v>
      </c>
      <c r="B1" s="28"/>
    </row>
    <row r="3" spans="1:2" ht="42" customHeight="1" x14ac:dyDescent="0.25">
      <c r="A3" s="24" t="s">
        <v>262</v>
      </c>
      <c r="B3" s="25" t="s">
        <v>263</v>
      </c>
    </row>
    <row r="4" spans="1:2" ht="42" customHeight="1" x14ac:dyDescent="0.25">
      <c r="A4" s="24" t="s">
        <v>264</v>
      </c>
      <c r="B4" s="25" t="s">
        <v>265</v>
      </c>
    </row>
    <row r="5" spans="1:2" ht="42" customHeight="1" x14ac:dyDescent="0.25">
      <c r="A5" s="24" t="s">
        <v>266</v>
      </c>
      <c r="B5" s="25" t="s">
        <v>267</v>
      </c>
    </row>
    <row r="6" spans="1:2" ht="42" customHeight="1" x14ac:dyDescent="0.25">
      <c r="A6" s="24" t="s">
        <v>268</v>
      </c>
      <c r="B6" s="25" t="s">
        <v>269</v>
      </c>
    </row>
    <row r="7" spans="1:2" ht="57" customHeight="1" x14ac:dyDescent="0.25">
      <c r="A7" s="24" t="s">
        <v>270</v>
      </c>
      <c r="B7" s="25" t="s">
        <v>271</v>
      </c>
    </row>
    <row r="8" spans="1:2" ht="102" customHeight="1" x14ac:dyDescent="0.25">
      <c r="A8" s="24" t="s">
        <v>272</v>
      </c>
      <c r="B8" s="25" t="s">
        <v>273</v>
      </c>
    </row>
    <row r="9" spans="1:2" ht="57" customHeight="1" x14ac:dyDescent="0.25">
      <c r="A9" s="24" t="s">
        <v>274</v>
      </c>
      <c r="B9" s="25" t="s">
        <v>275</v>
      </c>
    </row>
    <row r="10" spans="1:2" ht="42" customHeight="1" x14ac:dyDescent="0.25">
      <c r="A10" s="24" t="s">
        <v>276</v>
      </c>
      <c r="B10" s="25" t="s">
        <v>277</v>
      </c>
    </row>
  </sheetData>
  <mergeCells count="1">
    <mergeCell ref="A1:B1"/>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Catégories</vt:lpstr>
      <vt:lpstr>Produits</vt:lpstr>
      <vt:lpstr>Produits variables — Specs</vt:lpstr>
      <vt:lpstr>Page Newlinks — Spec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Mehdi Belhous</cp:lastModifiedBy>
  <cp:revision>0</cp:revision>
  <dcterms:created xsi:type="dcterms:W3CDTF">2026-07-13T12:11:04Z</dcterms:created>
  <dcterms:modified xsi:type="dcterms:W3CDTF">2026-07-15T07:47:01Z</dcterms:modified>
  <dc:language>en-US</dc:language>
</cp:coreProperties>
</file>